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Ananya Garg UW\Third year\Summer 2026\GCA\"/>
    </mc:Choice>
  </mc:AlternateContent>
  <xr:revisionPtr revIDLastSave="0" documentId="13_ncr:1_{1DC49B9A-1F11-4BEC-A78B-E981910ECE5D}" xr6:coauthVersionLast="47" xr6:coauthVersionMax="47" xr10:uidLastSave="{00000000-0000-0000-0000-000000000000}"/>
  <bookViews>
    <workbookView xWindow="-108" yWindow="-108" windowWidth="24792" windowHeight="13320" activeTab="2" xr2:uid="{9B9F7953-0F5D-4212-9D6A-B767AF0C33D1}"/>
  </bookViews>
  <sheets>
    <sheet name="Data Dictionary" sheetId="1" r:id="rId1"/>
    <sheet name="LevelUp Data!" sheetId="2" r:id="rId2"/>
    <sheet name="Analysis" sheetId="3" r:id="rId3"/>
    <sheet name="Explore the Five Sports" sheetId="4" r:id="rId4"/>
  </sheets>
  <externalReferences>
    <externalReference r:id="rId5"/>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17" i="4" l="1"/>
  <c r="B16" i="4"/>
  <c r="B15" i="4"/>
  <c r="B14" i="4"/>
  <c r="B13" i="4"/>
</calcChain>
</file>

<file path=xl/sharedStrings.xml><?xml version="1.0" encoding="utf-8"?>
<sst xmlns="http://schemas.openxmlformats.org/spreadsheetml/2006/main" count="73" uniqueCount="55">
  <si>
    <t>Data Dictionary: WinterSports</t>
  </si>
  <si>
    <t>Unlike other data tables in this course, the WinterSports data is presented as a summary table. It is equivalent to a PivotTable with one feature on the rows, one feature on the columns, and one feature for the cell values.</t>
  </si>
  <si>
    <t>location</t>
  </si>
  <si>
    <t>feature</t>
  </si>
  <si>
    <t>description</t>
  </si>
  <si>
    <t>Rows</t>
  </si>
  <si>
    <t>month</t>
  </si>
  <si>
    <t>Month for which search interest data was reported.</t>
  </si>
  <si>
    <t>Columns</t>
  </si>
  <si>
    <t>sport</t>
  </si>
  <si>
    <t>Search term for which search interest data was reported.</t>
  </si>
  <si>
    <t>Cells</t>
  </si>
  <si>
    <t>search interest</t>
  </si>
  <si>
    <t>Relative Google search interest in the United States, for the month and sport corresponding to the cell's table coordinates. Values range from 0 to 100, where 100 represents the month and search term with the highest proportional search volume, and all other values are scaled to that value. (e.g. 50 would be half the search volume of the most popular month+search term.)</t>
  </si>
  <si>
    <t>Month</t>
  </si>
  <si>
    <t>Speed Skating</t>
  </si>
  <si>
    <t>Nordic combined</t>
  </si>
  <si>
    <t>Biathlon</t>
  </si>
  <si>
    <t>Alpine skiing</t>
  </si>
  <si>
    <t>Bobsleigh</t>
  </si>
  <si>
    <t>Curling</t>
  </si>
  <si>
    <t>Luge</t>
  </si>
  <si>
    <t>Hockey</t>
  </si>
  <si>
    <t>Snowboarding</t>
  </si>
  <si>
    <r>
      <rPr>
        <b/>
        <sz val="24"/>
        <color theme="1"/>
        <rFont val="Calibri"/>
        <family val="2"/>
        <scheme val="minor"/>
      </rPr>
      <t>Milestone |</t>
    </r>
    <r>
      <rPr>
        <sz val="24"/>
        <color theme="1"/>
        <rFont val="Calibri"/>
        <family val="2"/>
        <scheme val="minor"/>
      </rPr>
      <t xml:space="preserve"> Winter Sports Interest Analysis</t>
    </r>
  </si>
  <si>
    <t>Part 1: Understanding Interest Over Time</t>
  </si>
  <si>
    <t>Below, create a line chart that captures the trend in interest levels in "curling", over the time span recorded in the data.</t>
  </si>
  <si>
    <t>Summarize what the chart you created can tell us about search interest in Curling. Are there any repeating patterns? Where does this pattern come from?</t>
  </si>
  <si>
    <t>The search interest in curling is highly cyclical and sees drastic peaks every 4 years (2006, 2010, 2014, 2018, 2022) starting around November and ending around April. There are also minor bumps/upticks in search interest every year around the same time (Nov to Apr). This pattern of upticks in search interest during Nov-Apr comes from curling being a winter sport, so there is more interest in the sport during the winter season. The major spikes in search interest every four years comes from the fact that curling is an Olympic Winter Sport, and the Olympics happen every four years (2006, 2010, 2014, 2018, 2022, ...), so there is a peak in interest during these years.</t>
  </si>
  <si>
    <t>Use ChatGPT to predict during which years or seasons search interest in Curling is likely to be highest.</t>
  </si>
  <si>
    <t>How does ChatGPT’s answer align with your expectations and what you concluded from your visualization?</t>
  </si>
  <si>
    <t>ChatGPT's answer aligns perfectly with the conclusions drawn from the visualization. Interest in curling is cyclical and peaks during Winter Olympic Years, especially February, when curling competitions happen. There is a higher peak in 2018 because USA's men's team won a gold medal in curling that year. There is also a modest rise in interest outside Olympic years during the Northern Hemisphere curling season when other championships take place.</t>
  </si>
  <si>
    <t>Adjust your question to get more specific insights (e.g., narrow by year, country, or seasonality). What changed in the response?</t>
  </si>
  <si>
    <t>The response has a further breakdown of the individual years and likely explanations for the interest levels at that time. There is more about seasons/months, and what drives the interest during specific months. There is also a breakdown of interest by country with Canada having the highest interest.</t>
  </si>
  <si>
    <t xml:space="preserve"> How useful was ChatGPT in forming your hypothesis? Did you notice any biases or gaps?</t>
  </si>
  <si>
    <t>ChatGPT was helpful in furthering my hypothesis and filling in details that I hadn't considered. I noticed that this data only considers Google searches, so countries/regions where other search engines are dominant might be underrepresented. Also, searches in other languages may not be captured/considered. There is also biases/gaps from ChatGPT such as the Northern Hemisphere bias, where winter is described as Jan-March, disregarding the southern hemisphere.</t>
  </si>
  <si>
    <t>Part 2: Comparing Sports Trends</t>
  </si>
  <si>
    <t>Below, create a line chart that captures the trend in interest levels in "luge", over the time span recorded in the data.</t>
  </si>
  <si>
    <t>Compare this chart to the previous one. How does the overall search interest in Luge compare to Curling? Are there any notable spikes in interest? If so, what might explain these spikes? Use ChatGPT or Google to research significant events that could have influenced the trends you see.</t>
  </si>
  <si>
    <t xml:space="preserve">The overall search interest in Luge is fairly similar when compared to Curling in terms of when interest spikes. There are spikes in interest every 4 years (Olympic years), however, these spikes are much smaller than for Curling, except for one spike. There is one significant spike in early 2010 that reaches 100. The spikes every 4 years are explained by Luge being an Olympic winter sport. The large spike in 2010 is because of a fatal training accident that took place just hours before the opening ceremony. This accident received worldwide media coverage and prompted the search interest. </t>
  </si>
  <si>
    <t>Below, create a line chart that captures the trend in interest levels in "hockey" and "snowboarding", over the time span recorded in the data.</t>
  </si>
  <si>
    <t>Describe the general trend in search interest for Hockey and Snowboarding based on the chart. How do they differ from the previous charts, and how are they similar?</t>
  </si>
  <si>
    <t>Hockey and Snowboarding see increases in search interest during the winter months every year, with a lull in interest during the summer/hotter months. The search interest in hockey is cyclic and doesn't see much variation from year to year (no spikes). The search interest in snowboarding is also cyclical but it sees further spikes every four years, during the Winter Olympics, as interest increases further. This differs from the previous charts as there are still notable peaks during the non-olympic years. Overall, both hockey and snowboarding are popular winter sports even when the Olympics aren't taking place. Also, hockey is, in general, more popular than snowboarding during the non-olympic years.</t>
  </si>
  <si>
    <t>Part 3: Comparing Overall Popularity</t>
  </si>
  <si>
    <r>
      <t xml:space="preserve">Use the table in the </t>
    </r>
    <r>
      <rPr>
        <b/>
        <sz val="11"/>
        <color theme="1"/>
        <rFont val="Calibri"/>
        <family val="2"/>
        <scheme val="minor"/>
      </rPr>
      <t>Explore the Five Sports</t>
    </r>
    <r>
      <rPr>
        <sz val="11"/>
        <color theme="1"/>
        <rFont val="Calibri"/>
        <family val="2"/>
        <scheme val="minor"/>
      </rPr>
      <t xml:space="preserve"> worksheet to create a bar chart that captures the average interest in the remaining sports that have not yet been plotted: Speed skating, Nordic combined, Biathlon, Alpine skiing, and Bobsleigh.</t>
    </r>
  </si>
  <si>
    <t>Which of the five Olympic sports plotted has the highest average search interest?</t>
  </si>
  <si>
    <t>LevelUp</t>
  </si>
  <si>
    <r>
      <t xml:space="preserve">Create a horizontal stacked bar chart of the search interest levels of speed skating, alpine skiing, Nordic combined, biathlon, and bobsleigh during February of the Olympics years. You should have the y-axis labels be the sport and the color be each Olympics game. See the </t>
    </r>
    <r>
      <rPr>
        <b/>
        <sz val="11"/>
        <color theme="1"/>
        <rFont val="Calibri"/>
        <family val="2"/>
        <scheme val="minor"/>
      </rPr>
      <t>LevelUp Data!</t>
    </r>
    <r>
      <rPr>
        <sz val="11"/>
        <color theme="1"/>
        <rFont val="Calibri"/>
        <family val="2"/>
        <scheme val="minor"/>
      </rPr>
      <t xml:space="preserve"> worksheet for the data.</t>
    </r>
  </si>
  <si>
    <t>What sport had the highest total search interest of the time span in the dataset?</t>
  </si>
  <si>
    <t>bobsleigh</t>
  </si>
  <si>
    <r>
      <t xml:space="preserve">In the </t>
    </r>
    <r>
      <rPr>
        <b/>
        <sz val="11"/>
        <color theme="1"/>
        <rFont val="Calibri"/>
        <family val="2"/>
        <scheme val="minor"/>
      </rPr>
      <t xml:space="preserve">Explore the Five Sports </t>
    </r>
    <r>
      <rPr>
        <sz val="11"/>
        <color theme="1"/>
        <rFont val="Calibri"/>
        <family val="2"/>
        <scheme val="minor"/>
      </rPr>
      <t>worksheet, re-create the table of average search interest values of the listed sports using formulas.</t>
    </r>
  </si>
  <si>
    <t>WINTER SPORT</t>
  </si>
  <si>
    <t>AVG INTEREST LEVEL</t>
  </si>
  <si>
    <t>Alpine Skiing</t>
  </si>
  <si>
    <r>
      <t xml:space="preserve">Create LevelUp Table Using Functions Here!
</t>
    </r>
    <r>
      <rPr>
        <i/>
        <sz val="11"/>
        <color theme="1"/>
        <rFont val="Calibri"/>
        <family val="2"/>
        <scheme val="minor"/>
      </rPr>
      <t>(Note: Cells in this LevelUp will</t>
    </r>
    <r>
      <rPr>
        <b/>
        <i/>
        <sz val="11"/>
        <color theme="1"/>
        <rFont val="Calibri"/>
        <family val="2"/>
        <scheme val="minor"/>
      </rPr>
      <t xml:space="preserve"> not </t>
    </r>
    <r>
      <rPr>
        <i/>
        <sz val="11"/>
        <color theme="1"/>
        <rFont val="Calibri"/>
        <family val="2"/>
        <scheme val="minor"/>
      </rPr>
      <t>turn green)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</si>
</sst>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yyyy"/>
    <numFmt numFmtId="165" formatCode="_([$€-2]\ * #,##0_);_([$€-2]\ * \(#,##0\);_([$€-2]\ * &quot;-&quot;??_);_(@_)"/>
  </numFmts>
  <fonts count="10" x14ac:knownFonts="1">
    <font>
      <sz val="11"/>
      <color theme="1"/>
      <name val="Calibri"/>
      <family val="2"/>
      <scheme val="minor"/>
    </font>
    <font>
      <sz val="11"/>
      <color theme="1"/>
      <name val="Calibri"/>
      <family val="2"/>
      <scheme val="minor"/>
    </font>
    <font>
      <b/>
      <sz val="11"/>
      <color theme="1"/>
      <name val="Calibri"/>
      <family val="2"/>
      <scheme val="minor"/>
    </font>
    <font>
      <b/>
      <sz val="24"/>
      <color theme="1"/>
      <name val="Calibri"/>
      <family val="2"/>
      <scheme val="minor"/>
    </font>
    <font>
      <sz val="12"/>
      <color theme="1"/>
      <name val="Calibri"/>
      <family val="2"/>
      <scheme val="minor"/>
    </font>
    <font>
      <sz val="24"/>
      <color theme="1"/>
      <name val="Calibri"/>
      <family val="2"/>
      <scheme val="minor"/>
    </font>
    <font>
      <b/>
      <sz val="14"/>
      <color theme="1"/>
      <name val="Calibri"/>
      <family val="2"/>
      <scheme val="minor"/>
    </font>
    <font>
      <sz val="11"/>
      <color rgb="FF000000"/>
      <name val="Calibri"/>
      <family val="2"/>
      <scheme val="minor"/>
    </font>
    <font>
      <i/>
      <sz val="11"/>
      <color theme="1"/>
      <name val="Calibri"/>
      <family val="2"/>
      <scheme val="minor"/>
    </font>
    <font>
      <b/>
      <i/>
      <sz val="11"/>
      <color theme="1"/>
      <name val="Calibri"/>
      <family val="2"/>
      <scheme val="minor"/>
    </font>
  </fonts>
  <fills count="9">
    <fill>
      <patternFill patternType="none"/>
    </fill>
    <fill>
      <patternFill patternType="gray125"/>
    </fill>
    <fill>
      <patternFill patternType="solid">
        <fgColor rgb="FFF8C43F"/>
        <bgColor indexed="64"/>
      </patternFill>
    </fill>
    <fill>
      <patternFill patternType="solid">
        <fgColor theme="7" tint="0.79998168889431442"/>
        <bgColor indexed="64"/>
      </patternFill>
    </fill>
    <fill>
      <patternFill patternType="solid">
        <fgColor rgb="FF72D1EE"/>
        <bgColor indexed="64"/>
      </patternFill>
    </fill>
    <fill>
      <patternFill patternType="solid">
        <fgColor rgb="FFC3E8F3"/>
        <bgColor indexed="64"/>
      </patternFill>
    </fill>
    <fill>
      <patternFill patternType="solid">
        <fgColor theme="2"/>
        <bgColor indexed="64"/>
      </patternFill>
    </fill>
    <fill>
      <patternFill patternType="solid">
        <fgColor rgb="FF72D0ED"/>
        <bgColor indexed="64"/>
      </patternFill>
    </fill>
    <fill>
      <patternFill patternType="solid">
        <fgColor theme="0" tint="-0.14999847407452621"/>
        <bgColor indexed="64"/>
      </patternFill>
    </fill>
  </fills>
  <borders count="19">
    <border>
      <left/>
      <right/>
      <top/>
      <bottom/>
      <diagonal/>
    </border>
    <border>
      <left style="medium">
        <color theme="0"/>
      </left>
      <right/>
      <top/>
      <bottom/>
      <diagonal/>
    </border>
    <border>
      <left style="medium">
        <color theme="0"/>
      </left>
      <right style="medium">
        <color theme="0"/>
      </right>
      <top style="medium">
        <color theme="0"/>
      </top>
      <bottom style="medium">
        <color theme="0"/>
      </bottom>
      <diagonal/>
    </border>
    <border>
      <left style="medium">
        <color theme="0"/>
      </left>
      <right/>
      <top style="medium">
        <color theme="0"/>
      </top>
      <bottom style="medium">
        <color theme="0"/>
      </bottom>
      <diagonal/>
    </border>
    <border>
      <left/>
      <right style="medium">
        <color theme="0"/>
      </right>
      <top style="medium">
        <color theme="0"/>
      </top>
      <bottom style="medium">
        <color theme="0"/>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style="medium">
        <color theme="0"/>
      </bottom>
      <diagonal/>
    </border>
    <border>
      <left/>
      <right style="medium">
        <color theme="0"/>
      </right>
      <top/>
      <bottom style="medium">
        <color theme="0"/>
      </bottom>
      <diagonal/>
    </border>
    <border>
      <left style="medium">
        <color theme="0"/>
      </left>
      <right style="medium">
        <color theme="0"/>
      </right>
      <top style="medium">
        <color theme="0"/>
      </top>
      <bottom/>
      <diagonal/>
    </border>
    <border>
      <left style="medium">
        <color theme="0"/>
      </left>
      <right style="medium">
        <color theme="0"/>
      </right>
      <top/>
      <bottom style="medium">
        <color theme="0"/>
      </bottom>
      <diagonal/>
    </border>
    <border>
      <left style="medium">
        <color theme="0"/>
      </left>
      <right style="thin">
        <color theme="0"/>
      </right>
      <top style="medium">
        <color theme="0"/>
      </top>
      <bottom style="medium">
        <color theme="0"/>
      </bottom>
      <diagonal/>
    </border>
    <border>
      <left style="medium">
        <color theme="0"/>
      </left>
      <right style="thin">
        <color theme="0"/>
      </right>
      <top style="medium">
        <color theme="0"/>
      </top>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top style="thin">
        <color theme="1"/>
      </top>
      <bottom style="thin">
        <color theme="1"/>
      </bottom>
      <diagonal/>
    </border>
    <border>
      <left style="thin">
        <color indexed="64"/>
      </left>
      <right style="thin">
        <color indexed="64"/>
      </right>
      <top style="thin">
        <color indexed="64"/>
      </top>
      <bottom style="thin">
        <color indexed="64"/>
      </bottom>
      <diagonal/>
    </border>
    <border>
      <left/>
      <right/>
      <top/>
      <bottom style="thin">
        <color theme="1"/>
      </bottom>
      <diagonal/>
    </border>
  </borders>
  <cellStyleXfs count="3">
    <xf numFmtId="0" fontId="0" fillId="0" borderId="0"/>
    <xf numFmtId="0" fontId="1" fillId="0" borderId="0"/>
    <xf numFmtId="0" fontId="4" fillId="0" borderId="0"/>
  </cellStyleXfs>
  <cellXfs count="56">
    <xf numFmtId="0" fontId="0" fillId="0" borderId="0" xfId="0"/>
    <xf numFmtId="0" fontId="1" fillId="0" borderId="0" xfId="1"/>
    <xf numFmtId="0" fontId="1" fillId="0" borderId="0" xfId="2" applyFont="1"/>
    <xf numFmtId="0" fontId="0" fillId="0" borderId="0" xfId="0" applyAlignment="1">
      <alignment wrapText="1"/>
    </xf>
    <xf numFmtId="14" fontId="0" fillId="0" borderId="0" xfId="0" applyNumberFormat="1"/>
    <xf numFmtId="164" fontId="0" fillId="0" borderId="0" xfId="0" applyNumberFormat="1"/>
    <xf numFmtId="0" fontId="0" fillId="6" borderId="0" xfId="0" applyFill="1"/>
    <xf numFmtId="0" fontId="1" fillId="5" borderId="2" xfId="2" applyFont="1" applyFill="1" applyBorder="1" applyAlignment="1">
      <alignment vertical="center" wrapText="1"/>
    </xf>
    <xf numFmtId="0" fontId="2" fillId="4" borderId="2" xfId="2" applyFont="1" applyFill="1" applyBorder="1" applyAlignment="1">
      <alignment horizontal="center" vertical="center"/>
    </xf>
    <xf numFmtId="0" fontId="2" fillId="7" borderId="2" xfId="2" applyFont="1" applyFill="1" applyBorder="1" applyAlignment="1">
      <alignment horizontal="center" vertical="center"/>
    </xf>
    <xf numFmtId="165" fontId="1" fillId="8" borderId="2" xfId="2" applyNumberFormat="1" applyFont="1" applyFill="1" applyBorder="1" applyAlignment="1">
      <alignment vertical="center" wrapText="1"/>
    </xf>
    <xf numFmtId="0" fontId="2" fillId="0" borderId="14" xfId="0" applyFont="1" applyBorder="1"/>
    <xf numFmtId="0" fontId="0" fillId="0" borderId="14" xfId="0" applyBorder="1"/>
    <xf numFmtId="2" fontId="0" fillId="0" borderId="14" xfId="0" applyNumberFormat="1" applyBorder="1"/>
    <xf numFmtId="0" fontId="2" fillId="0" borderId="18" xfId="0" applyFont="1" applyBorder="1" applyAlignment="1">
      <alignment wrapText="1"/>
    </xf>
    <xf numFmtId="2" fontId="2" fillId="6" borderId="17" xfId="0" applyNumberFormat="1" applyFont="1" applyFill="1" applyBorder="1"/>
    <xf numFmtId="0" fontId="2" fillId="4" borderId="14" xfId="0" applyFont="1" applyFill="1" applyBorder="1"/>
    <xf numFmtId="0" fontId="2" fillId="4" borderId="15" xfId="0" applyFont="1" applyFill="1" applyBorder="1"/>
    <xf numFmtId="0" fontId="0" fillId="5" borderId="16" xfId="0" applyFill="1" applyBorder="1"/>
    <xf numFmtId="0" fontId="0" fillId="6" borderId="6" xfId="0" applyFill="1" applyBorder="1" applyAlignment="1">
      <alignment horizontal="left" vertical="center" wrapText="1"/>
    </xf>
    <xf numFmtId="0" fontId="0" fillId="6" borderId="0" xfId="0" applyFill="1" applyAlignment="1">
      <alignment horizontal="left" vertical="center" wrapText="1"/>
    </xf>
    <xf numFmtId="0" fontId="6" fillId="4" borderId="2" xfId="2" applyFont="1" applyFill="1" applyBorder="1" applyAlignment="1">
      <alignment horizontal="center" vertical="center"/>
    </xf>
    <xf numFmtId="0" fontId="4" fillId="4" borderId="10" xfId="2" applyFill="1" applyBorder="1" applyAlignment="1">
      <alignment horizontal="center" vertical="center"/>
    </xf>
    <xf numFmtId="0" fontId="4" fillId="4" borderId="11" xfId="2" applyFill="1" applyBorder="1" applyAlignment="1">
      <alignment horizontal="center" vertical="center"/>
    </xf>
    <xf numFmtId="0" fontId="5" fillId="4" borderId="2" xfId="2" applyFont="1" applyFill="1" applyBorder="1" applyAlignment="1">
      <alignment horizontal="center" vertical="center"/>
    </xf>
    <xf numFmtId="0" fontId="2" fillId="4" borderId="2" xfId="0" applyFont="1" applyFill="1" applyBorder="1" applyAlignment="1">
      <alignment horizontal="center" vertical="center"/>
    </xf>
    <xf numFmtId="0" fontId="0" fillId="5" borderId="2" xfId="0" applyFill="1" applyBorder="1" applyAlignment="1">
      <alignment vertical="center" wrapText="1"/>
    </xf>
    <xf numFmtId="0" fontId="2" fillId="4" borderId="2" xfId="0" applyFont="1" applyFill="1" applyBorder="1" applyAlignment="1">
      <alignment horizontal="center" vertical="center" wrapText="1"/>
    </xf>
    <xf numFmtId="0" fontId="7" fillId="5" borderId="2" xfId="2" applyFont="1" applyFill="1" applyBorder="1" applyAlignment="1">
      <alignment vertical="center" wrapText="1"/>
    </xf>
    <xf numFmtId="0" fontId="1" fillId="5" borderId="2" xfId="2" applyFont="1" applyFill="1" applyBorder="1" applyAlignment="1">
      <alignment vertical="center" wrapText="1"/>
    </xf>
    <xf numFmtId="0" fontId="7" fillId="5" borderId="3" xfId="2" applyFont="1" applyFill="1" applyBorder="1" applyAlignment="1">
      <alignment vertical="center" wrapText="1"/>
    </xf>
    <xf numFmtId="0" fontId="7" fillId="5" borderId="4" xfId="2" applyFont="1" applyFill="1" applyBorder="1" applyAlignment="1">
      <alignment vertical="center" wrapText="1"/>
    </xf>
    <xf numFmtId="0" fontId="2" fillId="4" borderId="10" xfId="2" applyFont="1" applyFill="1" applyBorder="1" applyAlignment="1">
      <alignment horizontal="center" vertical="center"/>
    </xf>
    <xf numFmtId="0" fontId="2" fillId="4" borderId="11" xfId="2" applyFont="1" applyFill="1" applyBorder="1" applyAlignment="1">
      <alignment horizontal="center" vertical="center"/>
    </xf>
    <xf numFmtId="0" fontId="7" fillId="5" borderId="5" xfId="2" applyFont="1" applyFill="1" applyBorder="1" applyAlignment="1">
      <alignment horizontal="left" vertical="center" wrapText="1"/>
    </xf>
    <xf numFmtId="0" fontId="7" fillId="5" borderId="7" xfId="2" applyFont="1" applyFill="1" applyBorder="1" applyAlignment="1">
      <alignment horizontal="left" vertical="center" wrapText="1"/>
    </xf>
    <xf numFmtId="0" fontId="7" fillId="5" borderId="8" xfId="2" applyFont="1" applyFill="1" applyBorder="1" applyAlignment="1">
      <alignment horizontal="left" vertical="center" wrapText="1"/>
    </xf>
    <xf numFmtId="0" fontId="7" fillId="5" borderId="9" xfId="2" applyFont="1" applyFill="1" applyBorder="1" applyAlignment="1">
      <alignment horizontal="left" vertical="center" wrapText="1"/>
    </xf>
    <xf numFmtId="0" fontId="4" fillId="5" borderId="5" xfId="2" applyFill="1" applyBorder="1" applyAlignment="1">
      <alignment horizontal="left" vertical="center" wrapText="1"/>
    </xf>
    <xf numFmtId="0" fontId="4" fillId="5" borderId="7" xfId="2" applyFill="1" applyBorder="1" applyAlignment="1">
      <alignment horizontal="left" vertical="center" wrapText="1"/>
    </xf>
    <xf numFmtId="0" fontId="4" fillId="5" borderId="8" xfId="2" applyFill="1" applyBorder="1" applyAlignment="1">
      <alignment horizontal="left" vertical="center" wrapText="1"/>
    </xf>
    <xf numFmtId="0" fontId="4" fillId="5" borderId="9" xfId="2" applyFill="1" applyBorder="1" applyAlignment="1">
      <alignment horizontal="left" vertical="center" wrapText="1"/>
    </xf>
    <xf numFmtId="0" fontId="0" fillId="5" borderId="2" xfId="0" applyFill="1" applyBorder="1" applyAlignment="1">
      <alignment horizontal="left" vertical="center" wrapText="1"/>
    </xf>
    <xf numFmtId="0" fontId="2" fillId="7" borderId="2" xfId="0" applyFont="1" applyFill="1" applyBorder="1" applyAlignment="1">
      <alignment horizontal="center" vertical="center" wrapText="1"/>
    </xf>
    <xf numFmtId="0" fontId="2" fillId="7" borderId="4" xfId="0" applyFont="1" applyFill="1" applyBorder="1" applyAlignment="1">
      <alignment horizontal="center" vertical="center" wrapText="1"/>
    </xf>
    <xf numFmtId="0" fontId="0" fillId="8" borderId="12" xfId="0" applyFill="1" applyBorder="1" applyAlignment="1">
      <alignment vertical="center"/>
    </xf>
    <xf numFmtId="0" fontId="0" fillId="5" borderId="2" xfId="2" applyFont="1" applyFill="1" applyBorder="1" applyAlignment="1">
      <alignment horizontal="left" vertical="center" wrapText="1"/>
    </xf>
    <xf numFmtId="0" fontId="1" fillId="5" borderId="2" xfId="2" applyFont="1" applyFill="1" applyBorder="1" applyAlignment="1">
      <alignment horizontal="left" vertical="center" wrapText="1"/>
    </xf>
    <xf numFmtId="0" fontId="2" fillId="4" borderId="4" xfId="0" applyFont="1" applyFill="1" applyBorder="1" applyAlignment="1">
      <alignment horizontal="center" vertical="center" wrapText="1"/>
    </xf>
    <xf numFmtId="0" fontId="0" fillId="5" borderId="12" xfId="0" applyFill="1" applyBorder="1" applyAlignment="1">
      <alignment vertical="center" wrapText="1"/>
    </xf>
    <xf numFmtId="0" fontId="0" fillId="5" borderId="10" xfId="0" applyFill="1" applyBorder="1" applyAlignment="1">
      <alignment vertical="center" wrapText="1"/>
    </xf>
    <xf numFmtId="0" fontId="0" fillId="5" borderId="13" xfId="0" applyFill="1" applyBorder="1" applyAlignment="1">
      <alignment vertical="center" wrapText="1"/>
    </xf>
    <xf numFmtId="0" fontId="3" fillId="2" borderId="1" xfId="1" applyFont="1" applyFill="1" applyBorder="1" applyAlignment="1">
      <alignment horizontal="center" vertical="center"/>
    </xf>
    <xf numFmtId="0" fontId="3" fillId="2" borderId="0" xfId="1" applyFont="1" applyFill="1" applyAlignment="1">
      <alignment horizontal="center" vertical="center"/>
    </xf>
    <xf numFmtId="0" fontId="2" fillId="3" borderId="0" xfId="0" applyFont="1" applyFill="1" applyAlignment="1">
      <alignment horizontal="center" vertical="top" wrapText="1"/>
    </xf>
    <xf numFmtId="0" fontId="2" fillId="5" borderId="0" xfId="0" applyFont="1" applyFill="1" applyAlignment="1">
      <alignment horizontal="center" wrapText="1"/>
    </xf>
  </cellXfs>
  <cellStyles count="3">
    <cellStyle name="Normal" xfId="0" builtinId="0"/>
    <cellStyle name="Normal 2" xfId="1" xr:uid="{103A63F6-35B0-4A12-9F1A-CA1EFF51FA6D}"/>
    <cellStyle name="Normal 2 2" xfId="2" xr:uid="{8AEF19D4-3AF1-43C4-BB75-8163FDAD7818}"/>
  </cellStyles>
  <dxfs count="7">
    <dxf>
      <numFmt numFmtId="166" formatCode="m/d/yy"/>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164" formatCode="m/yyyy"/>
    </dxf>
  </dxfs>
  <tableStyles count="0" defaultTableStyle="TableStyleMedium2" defaultPivotStyle="PivotStyleLight16"/>
  <colors>
    <mruColors>
      <color rgb="FFC3E8F3"/>
      <color rgb="FF72D1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Interest Levels in Curling from 2004 - 2022</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lineChart>
        <c:grouping val="standard"/>
        <c:varyColors val="0"/>
        <c:ser>
          <c:idx val="0"/>
          <c:order val="0"/>
          <c:tx>
            <c:strRef>
              <c:f>Analysis!$H$1</c:f>
              <c:strCache>
                <c:ptCount val="1"/>
                <c:pt idx="0">
                  <c:v>Curling</c:v>
                </c:pt>
              </c:strCache>
            </c:strRef>
          </c:tx>
          <c:spPr>
            <a:ln w="28575" cap="rnd">
              <a:solidFill>
                <a:schemeClr val="accent1"/>
              </a:solidFill>
              <a:round/>
            </a:ln>
            <a:effectLst/>
          </c:spPr>
          <c:marker>
            <c:symbol val="none"/>
          </c:marker>
          <c:cat>
            <c:numRef>
              <c:f>Analysis!$G$2:$G$220</c:f>
              <c:numCache>
                <c:formatCode>m/yyyy</c:formatCode>
                <c:ptCount val="219"/>
                <c:pt idx="0">
                  <c:v>37987</c:v>
                </c:pt>
                <c:pt idx="1">
                  <c:v>38018</c:v>
                </c:pt>
                <c:pt idx="2">
                  <c:v>38047</c:v>
                </c:pt>
                <c:pt idx="3">
                  <c:v>38078</c:v>
                </c:pt>
                <c:pt idx="4">
                  <c:v>38108</c:v>
                </c:pt>
                <c:pt idx="5">
                  <c:v>38139</c:v>
                </c:pt>
                <c:pt idx="6">
                  <c:v>38169</c:v>
                </c:pt>
                <c:pt idx="7">
                  <c:v>38200</c:v>
                </c:pt>
                <c:pt idx="8">
                  <c:v>38231</c:v>
                </c:pt>
                <c:pt idx="9">
                  <c:v>38261</c:v>
                </c:pt>
                <c:pt idx="10">
                  <c:v>38292</c:v>
                </c:pt>
                <c:pt idx="11">
                  <c:v>38322</c:v>
                </c:pt>
                <c:pt idx="12">
                  <c:v>38353</c:v>
                </c:pt>
                <c:pt idx="13">
                  <c:v>38384</c:v>
                </c:pt>
                <c:pt idx="14">
                  <c:v>38412</c:v>
                </c:pt>
                <c:pt idx="15">
                  <c:v>38443</c:v>
                </c:pt>
                <c:pt idx="16">
                  <c:v>38473</c:v>
                </c:pt>
                <c:pt idx="17">
                  <c:v>38504</c:v>
                </c:pt>
                <c:pt idx="18">
                  <c:v>38534</c:v>
                </c:pt>
                <c:pt idx="19">
                  <c:v>38565</c:v>
                </c:pt>
                <c:pt idx="20">
                  <c:v>38596</c:v>
                </c:pt>
                <c:pt idx="21">
                  <c:v>38626</c:v>
                </c:pt>
                <c:pt idx="22">
                  <c:v>38657</c:v>
                </c:pt>
                <c:pt idx="23">
                  <c:v>38687</c:v>
                </c:pt>
                <c:pt idx="24">
                  <c:v>38718</c:v>
                </c:pt>
                <c:pt idx="25">
                  <c:v>38749</c:v>
                </c:pt>
                <c:pt idx="26">
                  <c:v>38777</c:v>
                </c:pt>
                <c:pt idx="27">
                  <c:v>38808</c:v>
                </c:pt>
                <c:pt idx="28">
                  <c:v>38838</c:v>
                </c:pt>
                <c:pt idx="29">
                  <c:v>38869</c:v>
                </c:pt>
                <c:pt idx="30">
                  <c:v>38899</c:v>
                </c:pt>
                <c:pt idx="31">
                  <c:v>38930</c:v>
                </c:pt>
                <c:pt idx="32">
                  <c:v>38961</c:v>
                </c:pt>
                <c:pt idx="33">
                  <c:v>38991</c:v>
                </c:pt>
                <c:pt idx="34">
                  <c:v>39022</c:v>
                </c:pt>
                <c:pt idx="35">
                  <c:v>39052</c:v>
                </c:pt>
                <c:pt idx="36">
                  <c:v>39083</c:v>
                </c:pt>
                <c:pt idx="37">
                  <c:v>39114</c:v>
                </c:pt>
                <c:pt idx="38">
                  <c:v>39142</c:v>
                </c:pt>
                <c:pt idx="39">
                  <c:v>39173</c:v>
                </c:pt>
                <c:pt idx="40">
                  <c:v>39203</c:v>
                </c:pt>
                <c:pt idx="41">
                  <c:v>39234</c:v>
                </c:pt>
                <c:pt idx="42">
                  <c:v>39264</c:v>
                </c:pt>
                <c:pt idx="43">
                  <c:v>39295</c:v>
                </c:pt>
                <c:pt idx="44">
                  <c:v>39326</c:v>
                </c:pt>
                <c:pt idx="45">
                  <c:v>39356</c:v>
                </c:pt>
                <c:pt idx="46">
                  <c:v>39387</c:v>
                </c:pt>
                <c:pt idx="47">
                  <c:v>39417</c:v>
                </c:pt>
                <c:pt idx="48">
                  <c:v>39448</c:v>
                </c:pt>
                <c:pt idx="49">
                  <c:v>39479</c:v>
                </c:pt>
                <c:pt idx="50">
                  <c:v>39508</c:v>
                </c:pt>
                <c:pt idx="51">
                  <c:v>39539</c:v>
                </c:pt>
                <c:pt idx="52">
                  <c:v>39569</c:v>
                </c:pt>
                <c:pt idx="53">
                  <c:v>39600</c:v>
                </c:pt>
                <c:pt idx="54">
                  <c:v>39630</c:v>
                </c:pt>
                <c:pt idx="55">
                  <c:v>39661</c:v>
                </c:pt>
                <c:pt idx="56">
                  <c:v>39692</c:v>
                </c:pt>
                <c:pt idx="57">
                  <c:v>39722</c:v>
                </c:pt>
                <c:pt idx="58">
                  <c:v>39753</c:v>
                </c:pt>
                <c:pt idx="59">
                  <c:v>39783</c:v>
                </c:pt>
                <c:pt idx="60">
                  <c:v>39814</c:v>
                </c:pt>
                <c:pt idx="61">
                  <c:v>39845</c:v>
                </c:pt>
                <c:pt idx="62">
                  <c:v>39873</c:v>
                </c:pt>
                <c:pt idx="63">
                  <c:v>39904</c:v>
                </c:pt>
                <c:pt idx="64">
                  <c:v>39934</c:v>
                </c:pt>
                <c:pt idx="65">
                  <c:v>39965</c:v>
                </c:pt>
                <c:pt idx="66">
                  <c:v>39995</c:v>
                </c:pt>
                <c:pt idx="67">
                  <c:v>40026</c:v>
                </c:pt>
                <c:pt idx="68">
                  <c:v>40057</c:v>
                </c:pt>
                <c:pt idx="69">
                  <c:v>40087</c:v>
                </c:pt>
                <c:pt idx="70">
                  <c:v>40118</c:v>
                </c:pt>
                <c:pt idx="71">
                  <c:v>40148</c:v>
                </c:pt>
                <c:pt idx="72">
                  <c:v>40179</c:v>
                </c:pt>
                <c:pt idx="73">
                  <c:v>40210</c:v>
                </c:pt>
                <c:pt idx="74">
                  <c:v>40238</c:v>
                </c:pt>
                <c:pt idx="75">
                  <c:v>40269</c:v>
                </c:pt>
                <c:pt idx="76">
                  <c:v>40299</c:v>
                </c:pt>
                <c:pt idx="77">
                  <c:v>40330</c:v>
                </c:pt>
                <c:pt idx="78">
                  <c:v>40360</c:v>
                </c:pt>
                <c:pt idx="79">
                  <c:v>40391</c:v>
                </c:pt>
                <c:pt idx="80">
                  <c:v>40422</c:v>
                </c:pt>
                <c:pt idx="81">
                  <c:v>40452</c:v>
                </c:pt>
                <c:pt idx="82">
                  <c:v>40483</c:v>
                </c:pt>
                <c:pt idx="83">
                  <c:v>40513</c:v>
                </c:pt>
                <c:pt idx="84">
                  <c:v>40544</c:v>
                </c:pt>
                <c:pt idx="85">
                  <c:v>40575</c:v>
                </c:pt>
                <c:pt idx="86">
                  <c:v>40603</c:v>
                </c:pt>
                <c:pt idx="87">
                  <c:v>40634</c:v>
                </c:pt>
                <c:pt idx="88">
                  <c:v>40664</c:v>
                </c:pt>
                <c:pt idx="89">
                  <c:v>40695</c:v>
                </c:pt>
                <c:pt idx="90">
                  <c:v>40725</c:v>
                </c:pt>
                <c:pt idx="91">
                  <c:v>40756</c:v>
                </c:pt>
                <c:pt idx="92">
                  <c:v>40787</c:v>
                </c:pt>
                <c:pt idx="93">
                  <c:v>40817</c:v>
                </c:pt>
                <c:pt idx="94">
                  <c:v>40848</c:v>
                </c:pt>
                <c:pt idx="95">
                  <c:v>40878</c:v>
                </c:pt>
                <c:pt idx="96">
                  <c:v>40909</c:v>
                </c:pt>
                <c:pt idx="97">
                  <c:v>40940</c:v>
                </c:pt>
                <c:pt idx="98">
                  <c:v>40969</c:v>
                </c:pt>
                <c:pt idx="99">
                  <c:v>41000</c:v>
                </c:pt>
                <c:pt idx="100">
                  <c:v>41030</c:v>
                </c:pt>
                <c:pt idx="101">
                  <c:v>41061</c:v>
                </c:pt>
                <c:pt idx="102">
                  <c:v>41091</c:v>
                </c:pt>
                <c:pt idx="103">
                  <c:v>41122</c:v>
                </c:pt>
                <c:pt idx="104">
                  <c:v>41153</c:v>
                </c:pt>
                <c:pt idx="105">
                  <c:v>41183</c:v>
                </c:pt>
                <c:pt idx="106">
                  <c:v>41214</c:v>
                </c:pt>
                <c:pt idx="107">
                  <c:v>41244</c:v>
                </c:pt>
                <c:pt idx="108">
                  <c:v>41275</c:v>
                </c:pt>
                <c:pt idx="109">
                  <c:v>41306</c:v>
                </c:pt>
                <c:pt idx="110">
                  <c:v>41334</c:v>
                </c:pt>
                <c:pt idx="111">
                  <c:v>41365</c:v>
                </c:pt>
                <c:pt idx="112">
                  <c:v>41395</c:v>
                </c:pt>
                <c:pt idx="113">
                  <c:v>41426</c:v>
                </c:pt>
                <c:pt idx="114">
                  <c:v>41456</c:v>
                </c:pt>
                <c:pt idx="115">
                  <c:v>41487</c:v>
                </c:pt>
                <c:pt idx="116">
                  <c:v>41518</c:v>
                </c:pt>
                <c:pt idx="117">
                  <c:v>41548</c:v>
                </c:pt>
                <c:pt idx="118">
                  <c:v>41579</c:v>
                </c:pt>
                <c:pt idx="119">
                  <c:v>41609</c:v>
                </c:pt>
                <c:pt idx="120">
                  <c:v>41640</c:v>
                </c:pt>
                <c:pt idx="121">
                  <c:v>41671</c:v>
                </c:pt>
                <c:pt idx="122">
                  <c:v>41699</c:v>
                </c:pt>
                <c:pt idx="123">
                  <c:v>41730</c:v>
                </c:pt>
                <c:pt idx="124">
                  <c:v>41760</c:v>
                </c:pt>
                <c:pt idx="125">
                  <c:v>41791</c:v>
                </c:pt>
                <c:pt idx="126">
                  <c:v>41821</c:v>
                </c:pt>
                <c:pt idx="127">
                  <c:v>41852</c:v>
                </c:pt>
                <c:pt idx="128">
                  <c:v>41883</c:v>
                </c:pt>
                <c:pt idx="129">
                  <c:v>41913</c:v>
                </c:pt>
                <c:pt idx="130">
                  <c:v>41944</c:v>
                </c:pt>
                <c:pt idx="131">
                  <c:v>41974</c:v>
                </c:pt>
                <c:pt idx="132">
                  <c:v>42005</c:v>
                </c:pt>
                <c:pt idx="133">
                  <c:v>42036</c:v>
                </c:pt>
                <c:pt idx="134">
                  <c:v>42064</c:v>
                </c:pt>
                <c:pt idx="135">
                  <c:v>42095</c:v>
                </c:pt>
                <c:pt idx="136">
                  <c:v>42125</c:v>
                </c:pt>
                <c:pt idx="137">
                  <c:v>42156</c:v>
                </c:pt>
                <c:pt idx="138">
                  <c:v>42186</c:v>
                </c:pt>
                <c:pt idx="139">
                  <c:v>42217</c:v>
                </c:pt>
                <c:pt idx="140">
                  <c:v>42248</c:v>
                </c:pt>
                <c:pt idx="141">
                  <c:v>42278</c:v>
                </c:pt>
                <c:pt idx="142">
                  <c:v>42309</c:v>
                </c:pt>
                <c:pt idx="143">
                  <c:v>42339</c:v>
                </c:pt>
                <c:pt idx="144">
                  <c:v>42370</c:v>
                </c:pt>
                <c:pt idx="145">
                  <c:v>42401</c:v>
                </c:pt>
                <c:pt idx="146">
                  <c:v>42430</c:v>
                </c:pt>
                <c:pt idx="147">
                  <c:v>42461</c:v>
                </c:pt>
                <c:pt idx="148">
                  <c:v>42491</c:v>
                </c:pt>
                <c:pt idx="149">
                  <c:v>42522</c:v>
                </c:pt>
                <c:pt idx="150">
                  <c:v>42552</c:v>
                </c:pt>
                <c:pt idx="151">
                  <c:v>42583</c:v>
                </c:pt>
                <c:pt idx="152">
                  <c:v>42614</c:v>
                </c:pt>
                <c:pt idx="153">
                  <c:v>42644</c:v>
                </c:pt>
                <c:pt idx="154">
                  <c:v>42675</c:v>
                </c:pt>
                <c:pt idx="155">
                  <c:v>42705</c:v>
                </c:pt>
                <c:pt idx="156">
                  <c:v>42736</c:v>
                </c:pt>
                <c:pt idx="157">
                  <c:v>42767</c:v>
                </c:pt>
                <c:pt idx="158">
                  <c:v>42795</c:v>
                </c:pt>
                <c:pt idx="159">
                  <c:v>42826</c:v>
                </c:pt>
                <c:pt idx="160">
                  <c:v>42856</c:v>
                </c:pt>
                <c:pt idx="161">
                  <c:v>42887</c:v>
                </c:pt>
                <c:pt idx="162">
                  <c:v>42917</c:v>
                </c:pt>
                <c:pt idx="163">
                  <c:v>42948</c:v>
                </c:pt>
                <c:pt idx="164">
                  <c:v>42979</c:v>
                </c:pt>
                <c:pt idx="165">
                  <c:v>43009</c:v>
                </c:pt>
                <c:pt idx="166">
                  <c:v>43040</c:v>
                </c:pt>
                <c:pt idx="167">
                  <c:v>43070</c:v>
                </c:pt>
                <c:pt idx="168">
                  <c:v>43101</c:v>
                </c:pt>
                <c:pt idx="169">
                  <c:v>43132</c:v>
                </c:pt>
                <c:pt idx="170">
                  <c:v>43160</c:v>
                </c:pt>
                <c:pt idx="171">
                  <c:v>43191</c:v>
                </c:pt>
                <c:pt idx="172">
                  <c:v>43221</c:v>
                </c:pt>
                <c:pt idx="173">
                  <c:v>43252</c:v>
                </c:pt>
                <c:pt idx="174">
                  <c:v>43282</c:v>
                </c:pt>
                <c:pt idx="175">
                  <c:v>43313</c:v>
                </c:pt>
                <c:pt idx="176">
                  <c:v>43344</c:v>
                </c:pt>
                <c:pt idx="177">
                  <c:v>43374</c:v>
                </c:pt>
                <c:pt idx="178">
                  <c:v>43405</c:v>
                </c:pt>
                <c:pt idx="179">
                  <c:v>43435</c:v>
                </c:pt>
                <c:pt idx="180">
                  <c:v>43466</c:v>
                </c:pt>
                <c:pt idx="181">
                  <c:v>43497</c:v>
                </c:pt>
                <c:pt idx="182">
                  <c:v>43525</c:v>
                </c:pt>
                <c:pt idx="183">
                  <c:v>43556</c:v>
                </c:pt>
                <c:pt idx="184">
                  <c:v>43586</c:v>
                </c:pt>
                <c:pt idx="185">
                  <c:v>43617</c:v>
                </c:pt>
                <c:pt idx="186">
                  <c:v>43647</c:v>
                </c:pt>
                <c:pt idx="187">
                  <c:v>43678</c:v>
                </c:pt>
                <c:pt idx="188">
                  <c:v>43709</c:v>
                </c:pt>
                <c:pt idx="189">
                  <c:v>43739</c:v>
                </c:pt>
                <c:pt idx="190">
                  <c:v>43770</c:v>
                </c:pt>
                <c:pt idx="191">
                  <c:v>43800</c:v>
                </c:pt>
                <c:pt idx="192">
                  <c:v>43831</c:v>
                </c:pt>
                <c:pt idx="193">
                  <c:v>43862</c:v>
                </c:pt>
                <c:pt idx="194">
                  <c:v>43891</c:v>
                </c:pt>
                <c:pt idx="195">
                  <c:v>43922</c:v>
                </c:pt>
                <c:pt idx="196">
                  <c:v>43952</c:v>
                </c:pt>
                <c:pt idx="197">
                  <c:v>43983</c:v>
                </c:pt>
                <c:pt idx="198">
                  <c:v>44013</c:v>
                </c:pt>
                <c:pt idx="199">
                  <c:v>44044</c:v>
                </c:pt>
                <c:pt idx="200">
                  <c:v>44075</c:v>
                </c:pt>
                <c:pt idx="201">
                  <c:v>44105</c:v>
                </c:pt>
                <c:pt idx="202">
                  <c:v>44136</c:v>
                </c:pt>
                <c:pt idx="203">
                  <c:v>44166</c:v>
                </c:pt>
                <c:pt idx="204">
                  <c:v>44197</c:v>
                </c:pt>
                <c:pt idx="205">
                  <c:v>44228</c:v>
                </c:pt>
                <c:pt idx="206">
                  <c:v>44256</c:v>
                </c:pt>
                <c:pt idx="207">
                  <c:v>44287</c:v>
                </c:pt>
                <c:pt idx="208">
                  <c:v>44317</c:v>
                </c:pt>
                <c:pt idx="209">
                  <c:v>44348</c:v>
                </c:pt>
                <c:pt idx="210">
                  <c:v>44378</c:v>
                </c:pt>
                <c:pt idx="211">
                  <c:v>44409</c:v>
                </c:pt>
                <c:pt idx="212">
                  <c:v>44440</c:v>
                </c:pt>
                <c:pt idx="213">
                  <c:v>44470</c:v>
                </c:pt>
                <c:pt idx="214">
                  <c:v>44501</c:v>
                </c:pt>
                <c:pt idx="215">
                  <c:v>44531</c:v>
                </c:pt>
                <c:pt idx="216">
                  <c:v>44562</c:v>
                </c:pt>
                <c:pt idx="217">
                  <c:v>44593</c:v>
                </c:pt>
                <c:pt idx="218">
                  <c:v>44621</c:v>
                </c:pt>
              </c:numCache>
            </c:numRef>
          </c:cat>
          <c:val>
            <c:numRef>
              <c:f>Analysis!$H$2:$H$220</c:f>
              <c:numCache>
                <c:formatCode>General</c:formatCode>
                <c:ptCount val="219"/>
                <c:pt idx="0">
                  <c:v>2</c:v>
                </c:pt>
                <c:pt idx="1">
                  <c:v>2</c:v>
                </c:pt>
                <c:pt idx="2">
                  <c:v>3</c:v>
                </c:pt>
                <c:pt idx="3">
                  <c:v>1</c:v>
                </c:pt>
                <c:pt idx="4">
                  <c:v>1</c:v>
                </c:pt>
                <c:pt idx="5">
                  <c:v>0.5</c:v>
                </c:pt>
                <c:pt idx="6">
                  <c:v>1</c:v>
                </c:pt>
                <c:pt idx="7">
                  <c:v>1</c:v>
                </c:pt>
                <c:pt idx="8">
                  <c:v>1</c:v>
                </c:pt>
                <c:pt idx="9">
                  <c:v>1</c:v>
                </c:pt>
                <c:pt idx="10">
                  <c:v>1</c:v>
                </c:pt>
                <c:pt idx="11">
                  <c:v>1</c:v>
                </c:pt>
                <c:pt idx="12">
                  <c:v>2</c:v>
                </c:pt>
                <c:pt idx="13">
                  <c:v>2</c:v>
                </c:pt>
                <c:pt idx="14">
                  <c:v>2</c:v>
                </c:pt>
                <c:pt idx="15">
                  <c:v>2</c:v>
                </c:pt>
                <c:pt idx="16">
                  <c:v>1</c:v>
                </c:pt>
                <c:pt idx="17">
                  <c:v>1</c:v>
                </c:pt>
                <c:pt idx="18">
                  <c:v>1</c:v>
                </c:pt>
                <c:pt idx="19">
                  <c:v>1</c:v>
                </c:pt>
                <c:pt idx="20">
                  <c:v>1</c:v>
                </c:pt>
                <c:pt idx="21">
                  <c:v>1</c:v>
                </c:pt>
                <c:pt idx="22">
                  <c:v>4</c:v>
                </c:pt>
                <c:pt idx="23">
                  <c:v>3</c:v>
                </c:pt>
                <c:pt idx="24">
                  <c:v>3</c:v>
                </c:pt>
                <c:pt idx="25">
                  <c:v>78</c:v>
                </c:pt>
                <c:pt idx="26">
                  <c:v>6</c:v>
                </c:pt>
                <c:pt idx="27">
                  <c:v>3</c:v>
                </c:pt>
                <c:pt idx="28">
                  <c:v>1</c:v>
                </c:pt>
                <c:pt idx="29">
                  <c:v>1</c:v>
                </c:pt>
                <c:pt idx="30">
                  <c:v>1</c:v>
                </c:pt>
                <c:pt idx="31">
                  <c:v>1</c:v>
                </c:pt>
                <c:pt idx="32">
                  <c:v>1</c:v>
                </c:pt>
                <c:pt idx="33">
                  <c:v>1</c:v>
                </c:pt>
                <c:pt idx="34">
                  <c:v>2</c:v>
                </c:pt>
                <c:pt idx="35">
                  <c:v>1</c:v>
                </c:pt>
                <c:pt idx="36">
                  <c:v>2</c:v>
                </c:pt>
                <c:pt idx="37">
                  <c:v>2</c:v>
                </c:pt>
                <c:pt idx="38">
                  <c:v>2</c:v>
                </c:pt>
                <c:pt idx="39">
                  <c:v>1</c:v>
                </c:pt>
                <c:pt idx="40">
                  <c:v>1</c:v>
                </c:pt>
                <c:pt idx="41">
                  <c:v>1</c:v>
                </c:pt>
                <c:pt idx="42">
                  <c:v>1</c:v>
                </c:pt>
                <c:pt idx="43">
                  <c:v>1</c:v>
                </c:pt>
                <c:pt idx="44">
                  <c:v>1</c:v>
                </c:pt>
                <c:pt idx="45">
                  <c:v>1</c:v>
                </c:pt>
                <c:pt idx="46">
                  <c:v>1</c:v>
                </c:pt>
                <c:pt idx="47">
                  <c:v>2</c:v>
                </c:pt>
                <c:pt idx="48">
                  <c:v>2</c:v>
                </c:pt>
                <c:pt idx="49">
                  <c:v>2</c:v>
                </c:pt>
                <c:pt idx="50">
                  <c:v>2</c:v>
                </c:pt>
                <c:pt idx="51">
                  <c:v>1</c:v>
                </c:pt>
                <c:pt idx="52">
                  <c:v>1</c:v>
                </c:pt>
                <c:pt idx="53">
                  <c:v>1</c:v>
                </c:pt>
                <c:pt idx="54">
                  <c:v>1</c:v>
                </c:pt>
                <c:pt idx="55">
                  <c:v>1</c:v>
                </c:pt>
                <c:pt idx="56">
                  <c:v>1</c:v>
                </c:pt>
                <c:pt idx="57">
                  <c:v>1</c:v>
                </c:pt>
                <c:pt idx="58">
                  <c:v>1</c:v>
                </c:pt>
                <c:pt idx="59">
                  <c:v>1</c:v>
                </c:pt>
                <c:pt idx="60">
                  <c:v>1</c:v>
                </c:pt>
                <c:pt idx="61">
                  <c:v>3</c:v>
                </c:pt>
                <c:pt idx="62">
                  <c:v>2</c:v>
                </c:pt>
                <c:pt idx="63">
                  <c:v>2</c:v>
                </c:pt>
                <c:pt idx="64">
                  <c:v>0.5</c:v>
                </c:pt>
                <c:pt idx="65">
                  <c:v>0.5</c:v>
                </c:pt>
                <c:pt idx="66">
                  <c:v>1</c:v>
                </c:pt>
                <c:pt idx="67">
                  <c:v>1</c:v>
                </c:pt>
                <c:pt idx="68">
                  <c:v>1</c:v>
                </c:pt>
                <c:pt idx="69">
                  <c:v>1</c:v>
                </c:pt>
                <c:pt idx="70">
                  <c:v>1</c:v>
                </c:pt>
                <c:pt idx="71">
                  <c:v>2</c:v>
                </c:pt>
                <c:pt idx="72">
                  <c:v>3</c:v>
                </c:pt>
                <c:pt idx="73">
                  <c:v>86</c:v>
                </c:pt>
                <c:pt idx="74">
                  <c:v>8</c:v>
                </c:pt>
                <c:pt idx="75">
                  <c:v>2</c:v>
                </c:pt>
                <c:pt idx="76">
                  <c:v>1</c:v>
                </c:pt>
                <c:pt idx="77">
                  <c:v>1</c:v>
                </c:pt>
                <c:pt idx="78">
                  <c:v>1</c:v>
                </c:pt>
                <c:pt idx="79">
                  <c:v>1</c:v>
                </c:pt>
                <c:pt idx="80">
                  <c:v>1</c:v>
                </c:pt>
                <c:pt idx="81">
                  <c:v>1</c:v>
                </c:pt>
                <c:pt idx="82">
                  <c:v>1</c:v>
                </c:pt>
                <c:pt idx="83">
                  <c:v>1</c:v>
                </c:pt>
                <c:pt idx="84">
                  <c:v>1</c:v>
                </c:pt>
                <c:pt idx="85">
                  <c:v>2</c:v>
                </c:pt>
                <c:pt idx="86">
                  <c:v>2</c:v>
                </c:pt>
                <c:pt idx="87">
                  <c:v>1</c:v>
                </c:pt>
                <c:pt idx="88">
                  <c:v>1</c:v>
                </c:pt>
                <c:pt idx="89">
                  <c:v>1</c:v>
                </c:pt>
                <c:pt idx="90">
                  <c:v>1</c:v>
                </c:pt>
                <c:pt idx="91">
                  <c:v>1</c:v>
                </c:pt>
                <c:pt idx="92">
                  <c:v>1</c:v>
                </c:pt>
                <c:pt idx="93">
                  <c:v>1</c:v>
                </c:pt>
                <c:pt idx="94">
                  <c:v>1</c:v>
                </c:pt>
                <c:pt idx="95">
                  <c:v>1</c:v>
                </c:pt>
                <c:pt idx="96">
                  <c:v>1</c:v>
                </c:pt>
                <c:pt idx="97">
                  <c:v>2</c:v>
                </c:pt>
                <c:pt idx="98">
                  <c:v>1</c:v>
                </c:pt>
                <c:pt idx="99">
                  <c:v>1</c:v>
                </c:pt>
                <c:pt idx="100">
                  <c:v>1</c:v>
                </c:pt>
                <c:pt idx="101">
                  <c:v>1</c:v>
                </c:pt>
                <c:pt idx="102">
                  <c:v>1</c:v>
                </c:pt>
                <c:pt idx="103">
                  <c:v>1</c:v>
                </c:pt>
                <c:pt idx="104">
                  <c:v>1</c:v>
                </c:pt>
                <c:pt idx="105">
                  <c:v>1</c:v>
                </c:pt>
                <c:pt idx="106">
                  <c:v>1</c:v>
                </c:pt>
                <c:pt idx="107">
                  <c:v>1</c:v>
                </c:pt>
                <c:pt idx="108">
                  <c:v>1</c:v>
                </c:pt>
                <c:pt idx="109">
                  <c:v>2</c:v>
                </c:pt>
                <c:pt idx="110">
                  <c:v>2</c:v>
                </c:pt>
                <c:pt idx="111">
                  <c:v>1</c:v>
                </c:pt>
                <c:pt idx="112">
                  <c:v>1</c:v>
                </c:pt>
                <c:pt idx="113">
                  <c:v>1</c:v>
                </c:pt>
                <c:pt idx="114">
                  <c:v>1</c:v>
                </c:pt>
                <c:pt idx="115">
                  <c:v>1</c:v>
                </c:pt>
                <c:pt idx="116">
                  <c:v>1</c:v>
                </c:pt>
                <c:pt idx="117">
                  <c:v>1</c:v>
                </c:pt>
                <c:pt idx="118">
                  <c:v>2</c:v>
                </c:pt>
                <c:pt idx="119">
                  <c:v>2</c:v>
                </c:pt>
                <c:pt idx="120">
                  <c:v>5</c:v>
                </c:pt>
                <c:pt idx="121">
                  <c:v>54</c:v>
                </c:pt>
                <c:pt idx="122">
                  <c:v>3</c:v>
                </c:pt>
                <c:pt idx="123">
                  <c:v>1</c:v>
                </c:pt>
                <c:pt idx="124">
                  <c:v>1</c:v>
                </c:pt>
                <c:pt idx="125">
                  <c:v>1</c:v>
                </c:pt>
                <c:pt idx="126">
                  <c:v>1</c:v>
                </c:pt>
                <c:pt idx="127">
                  <c:v>1</c:v>
                </c:pt>
                <c:pt idx="128">
                  <c:v>1</c:v>
                </c:pt>
                <c:pt idx="129">
                  <c:v>1</c:v>
                </c:pt>
                <c:pt idx="130">
                  <c:v>1</c:v>
                </c:pt>
                <c:pt idx="131">
                  <c:v>2</c:v>
                </c:pt>
                <c:pt idx="132">
                  <c:v>2</c:v>
                </c:pt>
                <c:pt idx="133">
                  <c:v>2</c:v>
                </c:pt>
                <c:pt idx="134">
                  <c:v>2</c:v>
                </c:pt>
                <c:pt idx="135">
                  <c:v>1</c:v>
                </c:pt>
                <c:pt idx="136">
                  <c:v>1</c:v>
                </c:pt>
                <c:pt idx="137">
                  <c:v>1</c:v>
                </c:pt>
                <c:pt idx="138">
                  <c:v>1</c:v>
                </c:pt>
                <c:pt idx="139">
                  <c:v>1</c:v>
                </c:pt>
                <c:pt idx="140">
                  <c:v>1</c:v>
                </c:pt>
                <c:pt idx="141">
                  <c:v>1</c:v>
                </c:pt>
                <c:pt idx="142">
                  <c:v>1</c:v>
                </c:pt>
                <c:pt idx="143">
                  <c:v>1</c:v>
                </c:pt>
                <c:pt idx="144">
                  <c:v>2</c:v>
                </c:pt>
                <c:pt idx="145">
                  <c:v>3</c:v>
                </c:pt>
                <c:pt idx="146">
                  <c:v>2</c:v>
                </c:pt>
                <c:pt idx="147">
                  <c:v>2</c:v>
                </c:pt>
                <c:pt idx="148">
                  <c:v>1</c:v>
                </c:pt>
                <c:pt idx="149">
                  <c:v>1</c:v>
                </c:pt>
                <c:pt idx="150">
                  <c:v>1</c:v>
                </c:pt>
                <c:pt idx="151">
                  <c:v>2</c:v>
                </c:pt>
                <c:pt idx="152">
                  <c:v>1</c:v>
                </c:pt>
                <c:pt idx="153">
                  <c:v>1</c:v>
                </c:pt>
                <c:pt idx="154">
                  <c:v>1</c:v>
                </c:pt>
                <c:pt idx="155">
                  <c:v>1</c:v>
                </c:pt>
                <c:pt idx="156">
                  <c:v>2</c:v>
                </c:pt>
                <c:pt idx="157">
                  <c:v>2</c:v>
                </c:pt>
                <c:pt idx="158">
                  <c:v>3</c:v>
                </c:pt>
                <c:pt idx="159">
                  <c:v>2</c:v>
                </c:pt>
                <c:pt idx="160">
                  <c:v>1</c:v>
                </c:pt>
                <c:pt idx="161">
                  <c:v>1</c:v>
                </c:pt>
                <c:pt idx="162">
                  <c:v>1</c:v>
                </c:pt>
                <c:pt idx="163">
                  <c:v>1</c:v>
                </c:pt>
                <c:pt idx="164">
                  <c:v>1</c:v>
                </c:pt>
                <c:pt idx="165">
                  <c:v>1</c:v>
                </c:pt>
                <c:pt idx="166">
                  <c:v>3</c:v>
                </c:pt>
                <c:pt idx="167">
                  <c:v>3</c:v>
                </c:pt>
                <c:pt idx="168">
                  <c:v>3</c:v>
                </c:pt>
                <c:pt idx="169">
                  <c:v>96</c:v>
                </c:pt>
                <c:pt idx="170">
                  <c:v>5</c:v>
                </c:pt>
                <c:pt idx="171">
                  <c:v>2</c:v>
                </c:pt>
                <c:pt idx="172">
                  <c:v>1</c:v>
                </c:pt>
                <c:pt idx="173">
                  <c:v>1</c:v>
                </c:pt>
                <c:pt idx="174">
                  <c:v>1</c:v>
                </c:pt>
                <c:pt idx="175">
                  <c:v>1</c:v>
                </c:pt>
                <c:pt idx="176">
                  <c:v>1</c:v>
                </c:pt>
                <c:pt idx="177">
                  <c:v>1</c:v>
                </c:pt>
                <c:pt idx="178">
                  <c:v>2</c:v>
                </c:pt>
                <c:pt idx="179">
                  <c:v>2</c:v>
                </c:pt>
                <c:pt idx="180">
                  <c:v>2</c:v>
                </c:pt>
                <c:pt idx="181">
                  <c:v>2</c:v>
                </c:pt>
                <c:pt idx="182">
                  <c:v>2</c:v>
                </c:pt>
                <c:pt idx="183">
                  <c:v>2</c:v>
                </c:pt>
                <c:pt idx="184">
                  <c:v>1</c:v>
                </c:pt>
                <c:pt idx="185">
                  <c:v>1</c:v>
                </c:pt>
                <c:pt idx="186">
                  <c:v>1</c:v>
                </c:pt>
                <c:pt idx="187">
                  <c:v>1</c:v>
                </c:pt>
                <c:pt idx="188">
                  <c:v>1</c:v>
                </c:pt>
                <c:pt idx="189">
                  <c:v>1</c:v>
                </c:pt>
                <c:pt idx="190">
                  <c:v>1</c:v>
                </c:pt>
                <c:pt idx="191">
                  <c:v>1</c:v>
                </c:pt>
                <c:pt idx="192">
                  <c:v>2</c:v>
                </c:pt>
                <c:pt idx="193">
                  <c:v>2</c:v>
                </c:pt>
                <c:pt idx="194">
                  <c:v>1</c:v>
                </c:pt>
                <c:pt idx="195">
                  <c:v>1</c:v>
                </c:pt>
                <c:pt idx="196">
                  <c:v>1</c:v>
                </c:pt>
                <c:pt idx="197">
                  <c:v>1</c:v>
                </c:pt>
                <c:pt idx="198">
                  <c:v>1</c:v>
                </c:pt>
                <c:pt idx="199">
                  <c:v>1</c:v>
                </c:pt>
                <c:pt idx="200">
                  <c:v>1</c:v>
                </c:pt>
                <c:pt idx="201">
                  <c:v>1</c:v>
                </c:pt>
                <c:pt idx="202">
                  <c:v>1</c:v>
                </c:pt>
                <c:pt idx="203">
                  <c:v>1</c:v>
                </c:pt>
                <c:pt idx="204">
                  <c:v>1</c:v>
                </c:pt>
                <c:pt idx="205">
                  <c:v>1</c:v>
                </c:pt>
                <c:pt idx="206">
                  <c:v>1</c:v>
                </c:pt>
                <c:pt idx="207">
                  <c:v>2</c:v>
                </c:pt>
                <c:pt idx="208">
                  <c:v>2</c:v>
                </c:pt>
                <c:pt idx="209">
                  <c:v>1</c:v>
                </c:pt>
                <c:pt idx="210">
                  <c:v>1</c:v>
                </c:pt>
                <c:pt idx="211">
                  <c:v>1</c:v>
                </c:pt>
                <c:pt idx="212">
                  <c:v>1</c:v>
                </c:pt>
                <c:pt idx="213">
                  <c:v>1</c:v>
                </c:pt>
                <c:pt idx="214">
                  <c:v>2</c:v>
                </c:pt>
                <c:pt idx="215">
                  <c:v>1</c:v>
                </c:pt>
                <c:pt idx="216">
                  <c:v>2</c:v>
                </c:pt>
                <c:pt idx="217">
                  <c:v>48</c:v>
                </c:pt>
                <c:pt idx="218">
                  <c:v>2</c:v>
                </c:pt>
              </c:numCache>
            </c:numRef>
          </c:val>
          <c:smooth val="0"/>
          <c:extLst>
            <c:ext xmlns:c16="http://schemas.microsoft.com/office/drawing/2014/chart" uri="{C3380CC4-5D6E-409C-BE32-E72D297353CC}">
              <c16:uniqueId val="{00000000-10C0-4CE2-8079-AE85D2652BCA}"/>
            </c:ext>
          </c:extLst>
        </c:ser>
        <c:dLbls>
          <c:showLegendKey val="0"/>
          <c:showVal val="0"/>
          <c:showCatName val="0"/>
          <c:showSerName val="0"/>
          <c:showPercent val="0"/>
          <c:showBubbleSize val="0"/>
        </c:dLbls>
        <c:smooth val="0"/>
        <c:axId val="880262832"/>
        <c:axId val="628293392"/>
      </c:lineChart>
      <c:dateAx>
        <c:axId val="880262832"/>
        <c:scaling>
          <c:orientation val="minMax"/>
        </c:scaling>
        <c:delete val="0"/>
        <c:axPos val="b"/>
        <c:numFmt formatCode="m/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293392"/>
        <c:crosses val="autoZero"/>
        <c:auto val="1"/>
        <c:lblOffset val="100"/>
        <c:baseTimeUnit val="months"/>
      </c:dateAx>
      <c:valAx>
        <c:axId val="628293392"/>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262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Interest Levels in Luge from 2004 - 2022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Analysis!$I$1</c:f>
              <c:strCache>
                <c:ptCount val="1"/>
                <c:pt idx="0">
                  <c:v>Luge</c:v>
                </c:pt>
              </c:strCache>
            </c:strRef>
          </c:tx>
          <c:spPr>
            <a:ln w="28575" cap="rnd">
              <a:solidFill>
                <a:schemeClr val="accent1"/>
              </a:solidFill>
              <a:round/>
            </a:ln>
            <a:effectLst/>
          </c:spPr>
          <c:marker>
            <c:symbol val="none"/>
          </c:marker>
          <c:cat>
            <c:numRef>
              <c:f>Analysis!$G$2:$G$220</c:f>
              <c:numCache>
                <c:formatCode>m/yyyy</c:formatCode>
                <c:ptCount val="219"/>
                <c:pt idx="0">
                  <c:v>37987</c:v>
                </c:pt>
                <c:pt idx="1">
                  <c:v>38018</c:v>
                </c:pt>
                <c:pt idx="2">
                  <c:v>38047</c:v>
                </c:pt>
                <c:pt idx="3">
                  <c:v>38078</c:v>
                </c:pt>
                <c:pt idx="4">
                  <c:v>38108</c:v>
                </c:pt>
                <c:pt idx="5">
                  <c:v>38139</c:v>
                </c:pt>
                <c:pt idx="6">
                  <c:v>38169</c:v>
                </c:pt>
                <c:pt idx="7">
                  <c:v>38200</c:v>
                </c:pt>
                <c:pt idx="8">
                  <c:v>38231</c:v>
                </c:pt>
                <c:pt idx="9">
                  <c:v>38261</c:v>
                </c:pt>
                <c:pt idx="10">
                  <c:v>38292</c:v>
                </c:pt>
                <c:pt idx="11">
                  <c:v>38322</c:v>
                </c:pt>
                <c:pt idx="12">
                  <c:v>38353</c:v>
                </c:pt>
                <c:pt idx="13">
                  <c:v>38384</c:v>
                </c:pt>
                <c:pt idx="14">
                  <c:v>38412</c:v>
                </c:pt>
                <c:pt idx="15">
                  <c:v>38443</c:v>
                </c:pt>
                <c:pt idx="16">
                  <c:v>38473</c:v>
                </c:pt>
                <c:pt idx="17">
                  <c:v>38504</c:v>
                </c:pt>
                <c:pt idx="18">
                  <c:v>38534</c:v>
                </c:pt>
                <c:pt idx="19">
                  <c:v>38565</c:v>
                </c:pt>
                <c:pt idx="20">
                  <c:v>38596</c:v>
                </c:pt>
                <c:pt idx="21">
                  <c:v>38626</c:v>
                </c:pt>
                <c:pt idx="22">
                  <c:v>38657</c:v>
                </c:pt>
                <c:pt idx="23">
                  <c:v>38687</c:v>
                </c:pt>
                <c:pt idx="24">
                  <c:v>38718</c:v>
                </c:pt>
                <c:pt idx="25">
                  <c:v>38749</c:v>
                </c:pt>
                <c:pt idx="26">
                  <c:v>38777</c:v>
                </c:pt>
                <c:pt idx="27">
                  <c:v>38808</c:v>
                </c:pt>
                <c:pt idx="28">
                  <c:v>38838</c:v>
                </c:pt>
                <c:pt idx="29">
                  <c:v>38869</c:v>
                </c:pt>
                <c:pt idx="30">
                  <c:v>38899</c:v>
                </c:pt>
                <c:pt idx="31">
                  <c:v>38930</c:v>
                </c:pt>
                <c:pt idx="32">
                  <c:v>38961</c:v>
                </c:pt>
                <c:pt idx="33">
                  <c:v>38991</c:v>
                </c:pt>
                <c:pt idx="34">
                  <c:v>39022</c:v>
                </c:pt>
                <c:pt idx="35">
                  <c:v>39052</c:v>
                </c:pt>
                <c:pt idx="36">
                  <c:v>39083</c:v>
                </c:pt>
                <c:pt idx="37">
                  <c:v>39114</c:v>
                </c:pt>
                <c:pt idx="38">
                  <c:v>39142</c:v>
                </c:pt>
                <c:pt idx="39">
                  <c:v>39173</c:v>
                </c:pt>
                <c:pt idx="40">
                  <c:v>39203</c:v>
                </c:pt>
                <c:pt idx="41">
                  <c:v>39234</c:v>
                </c:pt>
                <c:pt idx="42">
                  <c:v>39264</c:v>
                </c:pt>
                <c:pt idx="43">
                  <c:v>39295</c:v>
                </c:pt>
                <c:pt idx="44">
                  <c:v>39326</c:v>
                </c:pt>
                <c:pt idx="45">
                  <c:v>39356</c:v>
                </c:pt>
                <c:pt idx="46">
                  <c:v>39387</c:v>
                </c:pt>
                <c:pt idx="47">
                  <c:v>39417</c:v>
                </c:pt>
                <c:pt idx="48">
                  <c:v>39448</c:v>
                </c:pt>
                <c:pt idx="49">
                  <c:v>39479</c:v>
                </c:pt>
                <c:pt idx="50">
                  <c:v>39508</c:v>
                </c:pt>
                <c:pt idx="51">
                  <c:v>39539</c:v>
                </c:pt>
                <c:pt idx="52">
                  <c:v>39569</c:v>
                </c:pt>
                <c:pt idx="53">
                  <c:v>39600</c:v>
                </c:pt>
                <c:pt idx="54">
                  <c:v>39630</c:v>
                </c:pt>
                <c:pt idx="55">
                  <c:v>39661</c:v>
                </c:pt>
                <c:pt idx="56">
                  <c:v>39692</c:v>
                </c:pt>
                <c:pt idx="57">
                  <c:v>39722</c:v>
                </c:pt>
                <c:pt idx="58">
                  <c:v>39753</c:v>
                </c:pt>
                <c:pt idx="59">
                  <c:v>39783</c:v>
                </c:pt>
                <c:pt idx="60">
                  <c:v>39814</c:v>
                </c:pt>
                <c:pt idx="61">
                  <c:v>39845</c:v>
                </c:pt>
                <c:pt idx="62">
                  <c:v>39873</c:v>
                </c:pt>
                <c:pt idx="63">
                  <c:v>39904</c:v>
                </c:pt>
                <c:pt idx="64">
                  <c:v>39934</c:v>
                </c:pt>
                <c:pt idx="65">
                  <c:v>39965</c:v>
                </c:pt>
                <c:pt idx="66">
                  <c:v>39995</c:v>
                </c:pt>
                <c:pt idx="67">
                  <c:v>40026</c:v>
                </c:pt>
                <c:pt idx="68">
                  <c:v>40057</c:v>
                </c:pt>
                <c:pt idx="69">
                  <c:v>40087</c:v>
                </c:pt>
                <c:pt idx="70">
                  <c:v>40118</c:v>
                </c:pt>
                <c:pt idx="71">
                  <c:v>40148</c:v>
                </c:pt>
                <c:pt idx="72">
                  <c:v>40179</c:v>
                </c:pt>
                <c:pt idx="73">
                  <c:v>40210</c:v>
                </c:pt>
                <c:pt idx="74">
                  <c:v>40238</c:v>
                </c:pt>
                <c:pt idx="75">
                  <c:v>40269</c:v>
                </c:pt>
                <c:pt idx="76">
                  <c:v>40299</c:v>
                </c:pt>
                <c:pt idx="77">
                  <c:v>40330</c:v>
                </c:pt>
                <c:pt idx="78">
                  <c:v>40360</c:v>
                </c:pt>
                <c:pt idx="79">
                  <c:v>40391</c:v>
                </c:pt>
                <c:pt idx="80">
                  <c:v>40422</c:v>
                </c:pt>
                <c:pt idx="81">
                  <c:v>40452</c:v>
                </c:pt>
                <c:pt idx="82">
                  <c:v>40483</c:v>
                </c:pt>
                <c:pt idx="83">
                  <c:v>40513</c:v>
                </c:pt>
                <c:pt idx="84">
                  <c:v>40544</c:v>
                </c:pt>
                <c:pt idx="85">
                  <c:v>40575</c:v>
                </c:pt>
                <c:pt idx="86">
                  <c:v>40603</c:v>
                </c:pt>
                <c:pt idx="87">
                  <c:v>40634</c:v>
                </c:pt>
                <c:pt idx="88">
                  <c:v>40664</c:v>
                </c:pt>
                <c:pt idx="89">
                  <c:v>40695</c:v>
                </c:pt>
                <c:pt idx="90">
                  <c:v>40725</c:v>
                </c:pt>
                <c:pt idx="91">
                  <c:v>40756</c:v>
                </c:pt>
                <c:pt idx="92">
                  <c:v>40787</c:v>
                </c:pt>
                <c:pt idx="93">
                  <c:v>40817</c:v>
                </c:pt>
                <c:pt idx="94">
                  <c:v>40848</c:v>
                </c:pt>
                <c:pt idx="95">
                  <c:v>40878</c:v>
                </c:pt>
                <c:pt idx="96">
                  <c:v>40909</c:v>
                </c:pt>
                <c:pt idx="97">
                  <c:v>40940</c:v>
                </c:pt>
                <c:pt idx="98">
                  <c:v>40969</c:v>
                </c:pt>
                <c:pt idx="99">
                  <c:v>41000</c:v>
                </c:pt>
                <c:pt idx="100">
                  <c:v>41030</c:v>
                </c:pt>
                <c:pt idx="101">
                  <c:v>41061</c:v>
                </c:pt>
                <c:pt idx="102">
                  <c:v>41091</c:v>
                </c:pt>
                <c:pt idx="103">
                  <c:v>41122</c:v>
                </c:pt>
                <c:pt idx="104">
                  <c:v>41153</c:v>
                </c:pt>
                <c:pt idx="105">
                  <c:v>41183</c:v>
                </c:pt>
                <c:pt idx="106">
                  <c:v>41214</c:v>
                </c:pt>
                <c:pt idx="107">
                  <c:v>41244</c:v>
                </c:pt>
                <c:pt idx="108">
                  <c:v>41275</c:v>
                </c:pt>
                <c:pt idx="109">
                  <c:v>41306</c:v>
                </c:pt>
                <c:pt idx="110">
                  <c:v>41334</c:v>
                </c:pt>
                <c:pt idx="111">
                  <c:v>41365</c:v>
                </c:pt>
                <c:pt idx="112">
                  <c:v>41395</c:v>
                </c:pt>
                <c:pt idx="113">
                  <c:v>41426</c:v>
                </c:pt>
                <c:pt idx="114">
                  <c:v>41456</c:v>
                </c:pt>
                <c:pt idx="115">
                  <c:v>41487</c:v>
                </c:pt>
                <c:pt idx="116">
                  <c:v>41518</c:v>
                </c:pt>
                <c:pt idx="117">
                  <c:v>41548</c:v>
                </c:pt>
                <c:pt idx="118">
                  <c:v>41579</c:v>
                </c:pt>
                <c:pt idx="119">
                  <c:v>41609</c:v>
                </c:pt>
                <c:pt idx="120">
                  <c:v>41640</c:v>
                </c:pt>
                <c:pt idx="121">
                  <c:v>41671</c:v>
                </c:pt>
                <c:pt idx="122">
                  <c:v>41699</c:v>
                </c:pt>
                <c:pt idx="123">
                  <c:v>41730</c:v>
                </c:pt>
                <c:pt idx="124">
                  <c:v>41760</c:v>
                </c:pt>
                <c:pt idx="125">
                  <c:v>41791</c:v>
                </c:pt>
                <c:pt idx="126">
                  <c:v>41821</c:v>
                </c:pt>
                <c:pt idx="127">
                  <c:v>41852</c:v>
                </c:pt>
                <c:pt idx="128">
                  <c:v>41883</c:v>
                </c:pt>
                <c:pt idx="129">
                  <c:v>41913</c:v>
                </c:pt>
                <c:pt idx="130">
                  <c:v>41944</c:v>
                </c:pt>
                <c:pt idx="131">
                  <c:v>41974</c:v>
                </c:pt>
                <c:pt idx="132">
                  <c:v>42005</c:v>
                </c:pt>
                <c:pt idx="133">
                  <c:v>42036</c:v>
                </c:pt>
                <c:pt idx="134">
                  <c:v>42064</c:v>
                </c:pt>
                <c:pt idx="135">
                  <c:v>42095</c:v>
                </c:pt>
                <c:pt idx="136">
                  <c:v>42125</c:v>
                </c:pt>
                <c:pt idx="137">
                  <c:v>42156</c:v>
                </c:pt>
                <c:pt idx="138">
                  <c:v>42186</c:v>
                </c:pt>
                <c:pt idx="139">
                  <c:v>42217</c:v>
                </c:pt>
                <c:pt idx="140">
                  <c:v>42248</c:v>
                </c:pt>
                <c:pt idx="141">
                  <c:v>42278</c:v>
                </c:pt>
                <c:pt idx="142">
                  <c:v>42309</c:v>
                </c:pt>
                <c:pt idx="143">
                  <c:v>42339</c:v>
                </c:pt>
                <c:pt idx="144">
                  <c:v>42370</c:v>
                </c:pt>
                <c:pt idx="145">
                  <c:v>42401</c:v>
                </c:pt>
                <c:pt idx="146">
                  <c:v>42430</c:v>
                </c:pt>
                <c:pt idx="147">
                  <c:v>42461</c:v>
                </c:pt>
                <c:pt idx="148">
                  <c:v>42491</c:v>
                </c:pt>
                <c:pt idx="149">
                  <c:v>42522</c:v>
                </c:pt>
                <c:pt idx="150">
                  <c:v>42552</c:v>
                </c:pt>
                <c:pt idx="151">
                  <c:v>42583</c:v>
                </c:pt>
                <c:pt idx="152">
                  <c:v>42614</c:v>
                </c:pt>
                <c:pt idx="153">
                  <c:v>42644</c:v>
                </c:pt>
                <c:pt idx="154">
                  <c:v>42675</c:v>
                </c:pt>
                <c:pt idx="155">
                  <c:v>42705</c:v>
                </c:pt>
                <c:pt idx="156">
                  <c:v>42736</c:v>
                </c:pt>
                <c:pt idx="157">
                  <c:v>42767</c:v>
                </c:pt>
                <c:pt idx="158">
                  <c:v>42795</c:v>
                </c:pt>
                <c:pt idx="159">
                  <c:v>42826</c:v>
                </c:pt>
                <c:pt idx="160">
                  <c:v>42856</c:v>
                </c:pt>
                <c:pt idx="161">
                  <c:v>42887</c:v>
                </c:pt>
                <c:pt idx="162">
                  <c:v>42917</c:v>
                </c:pt>
                <c:pt idx="163">
                  <c:v>42948</c:v>
                </c:pt>
                <c:pt idx="164">
                  <c:v>42979</c:v>
                </c:pt>
                <c:pt idx="165">
                  <c:v>43009</c:v>
                </c:pt>
                <c:pt idx="166">
                  <c:v>43040</c:v>
                </c:pt>
                <c:pt idx="167">
                  <c:v>43070</c:v>
                </c:pt>
                <c:pt idx="168">
                  <c:v>43101</c:v>
                </c:pt>
                <c:pt idx="169">
                  <c:v>43132</c:v>
                </c:pt>
                <c:pt idx="170">
                  <c:v>43160</c:v>
                </c:pt>
                <c:pt idx="171">
                  <c:v>43191</c:v>
                </c:pt>
                <c:pt idx="172">
                  <c:v>43221</c:v>
                </c:pt>
                <c:pt idx="173">
                  <c:v>43252</c:v>
                </c:pt>
                <c:pt idx="174">
                  <c:v>43282</c:v>
                </c:pt>
                <c:pt idx="175">
                  <c:v>43313</c:v>
                </c:pt>
                <c:pt idx="176">
                  <c:v>43344</c:v>
                </c:pt>
                <c:pt idx="177">
                  <c:v>43374</c:v>
                </c:pt>
                <c:pt idx="178">
                  <c:v>43405</c:v>
                </c:pt>
                <c:pt idx="179">
                  <c:v>43435</c:v>
                </c:pt>
                <c:pt idx="180">
                  <c:v>43466</c:v>
                </c:pt>
                <c:pt idx="181">
                  <c:v>43497</c:v>
                </c:pt>
                <c:pt idx="182">
                  <c:v>43525</c:v>
                </c:pt>
                <c:pt idx="183">
                  <c:v>43556</c:v>
                </c:pt>
                <c:pt idx="184">
                  <c:v>43586</c:v>
                </c:pt>
                <c:pt idx="185">
                  <c:v>43617</c:v>
                </c:pt>
                <c:pt idx="186">
                  <c:v>43647</c:v>
                </c:pt>
                <c:pt idx="187">
                  <c:v>43678</c:v>
                </c:pt>
                <c:pt idx="188">
                  <c:v>43709</c:v>
                </c:pt>
                <c:pt idx="189">
                  <c:v>43739</c:v>
                </c:pt>
                <c:pt idx="190">
                  <c:v>43770</c:v>
                </c:pt>
                <c:pt idx="191">
                  <c:v>43800</c:v>
                </c:pt>
                <c:pt idx="192">
                  <c:v>43831</c:v>
                </c:pt>
                <c:pt idx="193">
                  <c:v>43862</c:v>
                </c:pt>
                <c:pt idx="194">
                  <c:v>43891</c:v>
                </c:pt>
                <c:pt idx="195">
                  <c:v>43922</c:v>
                </c:pt>
                <c:pt idx="196">
                  <c:v>43952</c:v>
                </c:pt>
                <c:pt idx="197">
                  <c:v>43983</c:v>
                </c:pt>
                <c:pt idx="198">
                  <c:v>44013</c:v>
                </c:pt>
                <c:pt idx="199">
                  <c:v>44044</c:v>
                </c:pt>
                <c:pt idx="200">
                  <c:v>44075</c:v>
                </c:pt>
                <c:pt idx="201">
                  <c:v>44105</c:v>
                </c:pt>
                <c:pt idx="202">
                  <c:v>44136</c:v>
                </c:pt>
                <c:pt idx="203">
                  <c:v>44166</c:v>
                </c:pt>
                <c:pt idx="204">
                  <c:v>44197</c:v>
                </c:pt>
                <c:pt idx="205">
                  <c:v>44228</c:v>
                </c:pt>
                <c:pt idx="206">
                  <c:v>44256</c:v>
                </c:pt>
                <c:pt idx="207">
                  <c:v>44287</c:v>
                </c:pt>
                <c:pt idx="208">
                  <c:v>44317</c:v>
                </c:pt>
                <c:pt idx="209">
                  <c:v>44348</c:v>
                </c:pt>
                <c:pt idx="210">
                  <c:v>44378</c:v>
                </c:pt>
                <c:pt idx="211">
                  <c:v>44409</c:v>
                </c:pt>
                <c:pt idx="212">
                  <c:v>44440</c:v>
                </c:pt>
                <c:pt idx="213">
                  <c:v>44470</c:v>
                </c:pt>
                <c:pt idx="214">
                  <c:v>44501</c:v>
                </c:pt>
                <c:pt idx="215">
                  <c:v>44531</c:v>
                </c:pt>
                <c:pt idx="216">
                  <c:v>44562</c:v>
                </c:pt>
                <c:pt idx="217">
                  <c:v>44593</c:v>
                </c:pt>
                <c:pt idx="218">
                  <c:v>44621</c:v>
                </c:pt>
              </c:numCache>
            </c:numRef>
          </c:cat>
          <c:val>
            <c:numRef>
              <c:f>Analysis!$I$2:$I$220</c:f>
              <c:numCache>
                <c:formatCode>General</c:formatCode>
                <c:ptCount val="219"/>
                <c:pt idx="0">
                  <c:v>1</c:v>
                </c:pt>
                <c:pt idx="1">
                  <c:v>1</c:v>
                </c:pt>
                <c:pt idx="2">
                  <c:v>1</c:v>
                </c:pt>
                <c:pt idx="3">
                  <c:v>1</c:v>
                </c:pt>
                <c:pt idx="4">
                  <c:v>0.5</c:v>
                </c:pt>
                <c:pt idx="5">
                  <c:v>1</c:v>
                </c:pt>
                <c:pt idx="6">
                  <c:v>0.5</c:v>
                </c:pt>
                <c:pt idx="7">
                  <c:v>1</c:v>
                </c:pt>
                <c:pt idx="8">
                  <c:v>1</c:v>
                </c:pt>
                <c:pt idx="9">
                  <c:v>0.5</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2</c:v>
                </c:pt>
                <c:pt idx="25">
                  <c:v>9</c:v>
                </c:pt>
                <c:pt idx="26">
                  <c:v>2</c:v>
                </c:pt>
                <c:pt idx="27">
                  <c:v>1</c:v>
                </c:pt>
                <c:pt idx="28">
                  <c:v>1</c:v>
                </c:pt>
                <c:pt idx="29">
                  <c:v>1</c:v>
                </c:pt>
                <c:pt idx="30">
                  <c:v>1</c:v>
                </c:pt>
                <c:pt idx="31">
                  <c:v>0.5</c:v>
                </c:pt>
                <c:pt idx="32">
                  <c:v>1</c:v>
                </c:pt>
                <c:pt idx="33">
                  <c:v>1</c:v>
                </c:pt>
                <c:pt idx="34">
                  <c:v>1</c:v>
                </c:pt>
                <c:pt idx="35">
                  <c:v>1</c:v>
                </c:pt>
                <c:pt idx="36">
                  <c:v>1</c:v>
                </c:pt>
                <c:pt idx="37">
                  <c:v>1</c:v>
                </c:pt>
                <c:pt idx="38">
                  <c:v>1</c:v>
                </c:pt>
                <c:pt idx="39">
                  <c:v>0.5</c:v>
                </c:pt>
                <c:pt idx="40">
                  <c:v>1</c:v>
                </c:pt>
                <c:pt idx="41">
                  <c:v>1</c:v>
                </c:pt>
                <c:pt idx="42">
                  <c:v>1</c:v>
                </c:pt>
                <c:pt idx="43">
                  <c:v>1</c:v>
                </c:pt>
                <c:pt idx="44">
                  <c:v>1</c:v>
                </c:pt>
                <c:pt idx="45">
                  <c:v>1</c:v>
                </c:pt>
                <c:pt idx="46">
                  <c:v>1</c:v>
                </c:pt>
                <c:pt idx="47">
                  <c:v>1</c:v>
                </c:pt>
                <c:pt idx="48">
                  <c:v>1</c:v>
                </c:pt>
                <c:pt idx="49">
                  <c:v>1</c:v>
                </c:pt>
                <c:pt idx="50">
                  <c:v>0.5</c:v>
                </c:pt>
                <c:pt idx="51">
                  <c:v>1</c:v>
                </c:pt>
                <c:pt idx="52">
                  <c:v>0.5</c:v>
                </c:pt>
                <c:pt idx="53">
                  <c:v>1</c:v>
                </c:pt>
                <c:pt idx="54">
                  <c:v>0.5</c:v>
                </c:pt>
                <c:pt idx="55">
                  <c:v>1</c:v>
                </c:pt>
                <c:pt idx="56">
                  <c:v>0.5</c:v>
                </c:pt>
                <c:pt idx="57">
                  <c:v>1</c:v>
                </c:pt>
                <c:pt idx="58">
                  <c:v>0.5</c:v>
                </c:pt>
                <c:pt idx="59">
                  <c:v>1</c:v>
                </c:pt>
                <c:pt idx="60">
                  <c:v>0.5</c:v>
                </c:pt>
                <c:pt idx="61">
                  <c:v>1</c:v>
                </c:pt>
                <c:pt idx="62">
                  <c:v>0.5</c:v>
                </c:pt>
                <c:pt idx="63">
                  <c:v>0.5</c:v>
                </c:pt>
                <c:pt idx="64">
                  <c:v>0.5</c:v>
                </c:pt>
                <c:pt idx="65">
                  <c:v>0.5</c:v>
                </c:pt>
                <c:pt idx="66">
                  <c:v>0.5</c:v>
                </c:pt>
                <c:pt idx="67">
                  <c:v>1</c:v>
                </c:pt>
                <c:pt idx="68">
                  <c:v>0.5</c:v>
                </c:pt>
                <c:pt idx="69">
                  <c:v>1</c:v>
                </c:pt>
                <c:pt idx="70">
                  <c:v>1</c:v>
                </c:pt>
                <c:pt idx="71">
                  <c:v>1</c:v>
                </c:pt>
                <c:pt idx="72">
                  <c:v>1</c:v>
                </c:pt>
                <c:pt idx="73">
                  <c:v>100</c:v>
                </c:pt>
                <c:pt idx="74">
                  <c:v>3</c:v>
                </c:pt>
                <c:pt idx="75">
                  <c:v>1</c:v>
                </c:pt>
                <c:pt idx="76">
                  <c:v>1</c:v>
                </c:pt>
                <c:pt idx="77">
                  <c:v>1</c:v>
                </c:pt>
                <c:pt idx="78">
                  <c:v>0.5</c:v>
                </c:pt>
                <c:pt idx="79">
                  <c:v>1</c:v>
                </c:pt>
                <c:pt idx="80">
                  <c:v>0.5</c:v>
                </c:pt>
                <c:pt idx="81">
                  <c:v>1</c:v>
                </c:pt>
                <c:pt idx="82">
                  <c:v>0.5</c:v>
                </c:pt>
                <c:pt idx="83">
                  <c:v>1</c:v>
                </c:pt>
                <c:pt idx="84">
                  <c:v>1</c:v>
                </c:pt>
                <c:pt idx="85">
                  <c:v>1</c:v>
                </c:pt>
                <c:pt idx="86">
                  <c:v>1</c:v>
                </c:pt>
                <c:pt idx="87">
                  <c:v>0.5</c:v>
                </c:pt>
                <c:pt idx="88">
                  <c:v>0.5</c:v>
                </c:pt>
                <c:pt idx="89">
                  <c:v>0.5</c:v>
                </c:pt>
                <c:pt idx="90">
                  <c:v>1</c:v>
                </c:pt>
                <c:pt idx="91">
                  <c:v>0.5</c:v>
                </c:pt>
                <c:pt idx="92">
                  <c:v>0.5</c:v>
                </c:pt>
                <c:pt idx="93">
                  <c:v>1</c:v>
                </c:pt>
                <c:pt idx="94">
                  <c:v>1</c:v>
                </c:pt>
                <c:pt idx="95">
                  <c:v>1</c:v>
                </c:pt>
                <c:pt idx="96">
                  <c:v>1</c:v>
                </c:pt>
                <c:pt idx="97">
                  <c:v>1</c:v>
                </c:pt>
                <c:pt idx="98">
                  <c:v>1</c:v>
                </c:pt>
                <c:pt idx="99">
                  <c:v>1</c:v>
                </c:pt>
                <c:pt idx="100">
                  <c:v>0.5</c:v>
                </c:pt>
                <c:pt idx="101">
                  <c:v>1</c:v>
                </c:pt>
                <c:pt idx="102">
                  <c:v>1</c:v>
                </c:pt>
                <c:pt idx="103">
                  <c:v>1</c:v>
                </c:pt>
                <c:pt idx="104">
                  <c:v>0.5</c:v>
                </c:pt>
                <c:pt idx="105">
                  <c:v>0.5</c:v>
                </c:pt>
                <c:pt idx="106">
                  <c:v>0.5</c:v>
                </c:pt>
                <c:pt idx="107">
                  <c:v>1</c:v>
                </c:pt>
                <c:pt idx="108">
                  <c:v>1</c:v>
                </c:pt>
                <c:pt idx="109">
                  <c:v>1</c:v>
                </c:pt>
                <c:pt idx="110">
                  <c:v>0.5</c:v>
                </c:pt>
                <c:pt idx="111">
                  <c:v>0.5</c:v>
                </c:pt>
                <c:pt idx="112">
                  <c:v>0.5</c:v>
                </c:pt>
                <c:pt idx="113">
                  <c:v>0.5</c:v>
                </c:pt>
                <c:pt idx="114">
                  <c:v>0.5</c:v>
                </c:pt>
                <c:pt idx="115">
                  <c:v>0.5</c:v>
                </c:pt>
                <c:pt idx="116">
                  <c:v>0.5</c:v>
                </c:pt>
                <c:pt idx="117">
                  <c:v>0.5</c:v>
                </c:pt>
                <c:pt idx="118">
                  <c:v>0.5</c:v>
                </c:pt>
                <c:pt idx="119">
                  <c:v>1</c:v>
                </c:pt>
                <c:pt idx="120">
                  <c:v>1</c:v>
                </c:pt>
                <c:pt idx="121">
                  <c:v>19</c:v>
                </c:pt>
                <c:pt idx="122">
                  <c:v>1</c:v>
                </c:pt>
                <c:pt idx="123">
                  <c:v>0.5</c:v>
                </c:pt>
                <c:pt idx="124">
                  <c:v>0.5</c:v>
                </c:pt>
                <c:pt idx="125">
                  <c:v>0.5</c:v>
                </c:pt>
                <c:pt idx="126">
                  <c:v>0.5</c:v>
                </c:pt>
                <c:pt idx="127">
                  <c:v>0.5</c:v>
                </c:pt>
                <c:pt idx="128">
                  <c:v>0.5</c:v>
                </c:pt>
                <c:pt idx="129">
                  <c:v>0.5</c:v>
                </c:pt>
                <c:pt idx="130">
                  <c:v>0.5</c:v>
                </c:pt>
                <c:pt idx="131">
                  <c:v>1</c:v>
                </c:pt>
                <c:pt idx="132">
                  <c:v>1</c:v>
                </c:pt>
                <c:pt idx="133">
                  <c:v>1</c:v>
                </c:pt>
                <c:pt idx="134">
                  <c:v>0.5</c:v>
                </c:pt>
                <c:pt idx="135">
                  <c:v>0.5</c:v>
                </c:pt>
                <c:pt idx="136">
                  <c:v>0.5</c:v>
                </c:pt>
                <c:pt idx="137">
                  <c:v>0.5</c:v>
                </c:pt>
                <c:pt idx="138">
                  <c:v>0.5</c:v>
                </c:pt>
                <c:pt idx="139">
                  <c:v>0.5</c:v>
                </c:pt>
                <c:pt idx="140">
                  <c:v>0.5</c:v>
                </c:pt>
                <c:pt idx="141">
                  <c:v>0.5</c:v>
                </c:pt>
                <c:pt idx="142">
                  <c:v>0.5</c:v>
                </c:pt>
                <c:pt idx="143">
                  <c:v>1</c:v>
                </c:pt>
                <c:pt idx="144">
                  <c:v>1</c:v>
                </c:pt>
                <c:pt idx="145">
                  <c:v>0.5</c:v>
                </c:pt>
                <c:pt idx="146">
                  <c:v>0.5</c:v>
                </c:pt>
                <c:pt idx="147">
                  <c:v>0.5</c:v>
                </c:pt>
                <c:pt idx="148">
                  <c:v>0.5</c:v>
                </c:pt>
                <c:pt idx="149">
                  <c:v>1</c:v>
                </c:pt>
                <c:pt idx="150">
                  <c:v>1</c:v>
                </c:pt>
                <c:pt idx="151">
                  <c:v>1</c:v>
                </c:pt>
                <c:pt idx="152">
                  <c:v>0.5</c:v>
                </c:pt>
                <c:pt idx="153">
                  <c:v>1</c:v>
                </c:pt>
                <c:pt idx="154">
                  <c:v>0.5</c:v>
                </c:pt>
                <c:pt idx="155">
                  <c:v>1</c:v>
                </c:pt>
                <c:pt idx="156">
                  <c:v>1</c:v>
                </c:pt>
                <c:pt idx="157">
                  <c:v>0.5</c:v>
                </c:pt>
                <c:pt idx="158">
                  <c:v>0.5</c:v>
                </c:pt>
                <c:pt idx="159">
                  <c:v>0.5</c:v>
                </c:pt>
                <c:pt idx="160">
                  <c:v>0.5</c:v>
                </c:pt>
                <c:pt idx="161">
                  <c:v>0.5</c:v>
                </c:pt>
                <c:pt idx="162">
                  <c:v>0.5</c:v>
                </c:pt>
                <c:pt idx="163">
                  <c:v>0.5</c:v>
                </c:pt>
                <c:pt idx="164">
                  <c:v>0.5</c:v>
                </c:pt>
                <c:pt idx="165">
                  <c:v>0.5</c:v>
                </c:pt>
                <c:pt idx="166">
                  <c:v>1</c:v>
                </c:pt>
                <c:pt idx="167">
                  <c:v>1</c:v>
                </c:pt>
                <c:pt idx="168">
                  <c:v>1</c:v>
                </c:pt>
                <c:pt idx="169">
                  <c:v>21</c:v>
                </c:pt>
                <c:pt idx="170">
                  <c:v>1</c:v>
                </c:pt>
                <c:pt idx="171">
                  <c:v>0.5</c:v>
                </c:pt>
                <c:pt idx="172">
                  <c:v>0.5</c:v>
                </c:pt>
                <c:pt idx="173">
                  <c:v>0.5</c:v>
                </c:pt>
                <c:pt idx="174">
                  <c:v>0.5</c:v>
                </c:pt>
                <c:pt idx="175">
                  <c:v>0.5</c:v>
                </c:pt>
                <c:pt idx="176">
                  <c:v>0.5</c:v>
                </c:pt>
                <c:pt idx="177">
                  <c:v>0.5</c:v>
                </c:pt>
                <c:pt idx="178">
                  <c:v>0.5</c:v>
                </c:pt>
                <c:pt idx="179">
                  <c:v>1</c:v>
                </c:pt>
                <c:pt idx="180">
                  <c:v>0.5</c:v>
                </c:pt>
                <c:pt idx="181">
                  <c:v>0.5</c:v>
                </c:pt>
                <c:pt idx="182">
                  <c:v>0.5</c:v>
                </c:pt>
                <c:pt idx="183">
                  <c:v>0.5</c:v>
                </c:pt>
                <c:pt idx="184">
                  <c:v>0.5</c:v>
                </c:pt>
                <c:pt idx="185">
                  <c:v>0.5</c:v>
                </c:pt>
                <c:pt idx="186">
                  <c:v>0.5</c:v>
                </c:pt>
                <c:pt idx="187">
                  <c:v>0.5</c:v>
                </c:pt>
                <c:pt idx="188">
                  <c:v>0.5</c:v>
                </c:pt>
                <c:pt idx="189">
                  <c:v>0.5</c:v>
                </c:pt>
                <c:pt idx="190">
                  <c:v>0.5</c:v>
                </c:pt>
                <c:pt idx="191">
                  <c:v>0.5</c:v>
                </c:pt>
                <c:pt idx="192">
                  <c:v>0.5</c:v>
                </c:pt>
                <c:pt idx="193">
                  <c:v>0.5</c:v>
                </c:pt>
                <c:pt idx="194">
                  <c:v>0.5</c:v>
                </c:pt>
                <c:pt idx="195">
                  <c:v>0.5</c:v>
                </c:pt>
                <c:pt idx="196">
                  <c:v>0.5</c:v>
                </c:pt>
                <c:pt idx="197">
                  <c:v>0.5</c:v>
                </c:pt>
                <c:pt idx="198">
                  <c:v>0.5</c:v>
                </c:pt>
                <c:pt idx="199">
                  <c:v>0.5</c:v>
                </c:pt>
                <c:pt idx="200">
                  <c:v>0.5</c:v>
                </c:pt>
                <c:pt idx="201">
                  <c:v>0.5</c:v>
                </c:pt>
                <c:pt idx="202">
                  <c:v>0.5</c:v>
                </c:pt>
                <c:pt idx="203">
                  <c:v>0.5</c:v>
                </c:pt>
                <c:pt idx="204">
                  <c:v>0.5</c:v>
                </c:pt>
                <c:pt idx="205">
                  <c:v>1</c:v>
                </c:pt>
                <c:pt idx="206">
                  <c:v>0.5</c:v>
                </c:pt>
                <c:pt idx="207">
                  <c:v>0.5</c:v>
                </c:pt>
                <c:pt idx="208">
                  <c:v>0.5</c:v>
                </c:pt>
                <c:pt idx="209">
                  <c:v>0.5</c:v>
                </c:pt>
                <c:pt idx="210">
                  <c:v>0.5</c:v>
                </c:pt>
                <c:pt idx="211">
                  <c:v>0.5</c:v>
                </c:pt>
                <c:pt idx="212">
                  <c:v>0.5</c:v>
                </c:pt>
                <c:pt idx="213">
                  <c:v>0.5</c:v>
                </c:pt>
                <c:pt idx="214">
                  <c:v>0.5</c:v>
                </c:pt>
                <c:pt idx="215">
                  <c:v>0.5</c:v>
                </c:pt>
                <c:pt idx="216">
                  <c:v>1</c:v>
                </c:pt>
                <c:pt idx="217">
                  <c:v>7</c:v>
                </c:pt>
                <c:pt idx="218">
                  <c:v>1</c:v>
                </c:pt>
              </c:numCache>
            </c:numRef>
          </c:val>
          <c:smooth val="0"/>
          <c:extLst>
            <c:ext xmlns:c16="http://schemas.microsoft.com/office/drawing/2014/chart" uri="{C3380CC4-5D6E-409C-BE32-E72D297353CC}">
              <c16:uniqueId val="{00000000-CDCD-49F4-A8ED-A00A0ACF31B8}"/>
            </c:ext>
          </c:extLst>
        </c:ser>
        <c:dLbls>
          <c:showLegendKey val="0"/>
          <c:showVal val="0"/>
          <c:showCatName val="0"/>
          <c:showSerName val="0"/>
          <c:showPercent val="0"/>
          <c:showBubbleSize val="0"/>
        </c:dLbls>
        <c:smooth val="0"/>
        <c:axId val="875733152"/>
        <c:axId val="628351952"/>
      </c:lineChart>
      <c:dateAx>
        <c:axId val="875733152"/>
        <c:scaling>
          <c:orientation val="minMax"/>
        </c:scaling>
        <c:delete val="0"/>
        <c:axPos val="b"/>
        <c:numFmt formatCode="m/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351952"/>
        <c:crosses val="autoZero"/>
        <c:auto val="1"/>
        <c:lblOffset val="100"/>
        <c:baseTimeUnit val="months"/>
      </c:dateAx>
      <c:valAx>
        <c:axId val="628351952"/>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733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Interest Levels in Hockey and Snowboarding from 2004 - 2022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Analysis!$O$1</c:f>
              <c:strCache>
                <c:ptCount val="1"/>
                <c:pt idx="0">
                  <c:v>Hockey</c:v>
                </c:pt>
              </c:strCache>
            </c:strRef>
          </c:tx>
          <c:spPr>
            <a:ln w="28575" cap="rnd">
              <a:solidFill>
                <a:schemeClr val="accent1"/>
              </a:solidFill>
              <a:round/>
            </a:ln>
            <a:effectLst/>
          </c:spPr>
          <c:marker>
            <c:symbol val="none"/>
          </c:marker>
          <c:cat>
            <c:numRef>
              <c:f>Analysis!$G$2:$G$220</c:f>
              <c:numCache>
                <c:formatCode>m/yyyy</c:formatCode>
                <c:ptCount val="219"/>
                <c:pt idx="0">
                  <c:v>37987</c:v>
                </c:pt>
                <c:pt idx="1">
                  <c:v>38018</c:v>
                </c:pt>
                <c:pt idx="2">
                  <c:v>38047</c:v>
                </c:pt>
                <c:pt idx="3">
                  <c:v>38078</c:v>
                </c:pt>
                <c:pt idx="4">
                  <c:v>38108</c:v>
                </c:pt>
                <c:pt idx="5">
                  <c:v>38139</c:v>
                </c:pt>
                <c:pt idx="6">
                  <c:v>38169</c:v>
                </c:pt>
                <c:pt idx="7">
                  <c:v>38200</c:v>
                </c:pt>
                <c:pt idx="8">
                  <c:v>38231</c:v>
                </c:pt>
                <c:pt idx="9">
                  <c:v>38261</c:v>
                </c:pt>
                <c:pt idx="10">
                  <c:v>38292</c:v>
                </c:pt>
                <c:pt idx="11">
                  <c:v>38322</c:v>
                </c:pt>
                <c:pt idx="12">
                  <c:v>38353</c:v>
                </c:pt>
                <c:pt idx="13">
                  <c:v>38384</c:v>
                </c:pt>
                <c:pt idx="14">
                  <c:v>38412</c:v>
                </c:pt>
                <c:pt idx="15">
                  <c:v>38443</c:v>
                </c:pt>
                <c:pt idx="16">
                  <c:v>38473</c:v>
                </c:pt>
                <c:pt idx="17">
                  <c:v>38504</c:v>
                </c:pt>
                <c:pt idx="18">
                  <c:v>38534</c:v>
                </c:pt>
                <c:pt idx="19">
                  <c:v>38565</c:v>
                </c:pt>
                <c:pt idx="20">
                  <c:v>38596</c:v>
                </c:pt>
                <c:pt idx="21">
                  <c:v>38626</c:v>
                </c:pt>
                <c:pt idx="22">
                  <c:v>38657</c:v>
                </c:pt>
                <c:pt idx="23">
                  <c:v>38687</c:v>
                </c:pt>
                <c:pt idx="24">
                  <c:v>38718</c:v>
                </c:pt>
                <c:pt idx="25">
                  <c:v>38749</c:v>
                </c:pt>
                <c:pt idx="26">
                  <c:v>38777</c:v>
                </c:pt>
                <c:pt idx="27">
                  <c:v>38808</c:v>
                </c:pt>
                <c:pt idx="28">
                  <c:v>38838</c:v>
                </c:pt>
                <c:pt idx="29">
                  <c:v>38869</c:v>
                </c:pt>
                <c:pt idx="30">
                  <c:v>38899</c:v>
                </c:pt>
                <c:pt idx="31">
                  <c:v>38930</c:v>
                </c:pt>
                <c:pt idx="32">
                  <c:v>38961</c:v>
                </c:pt>
                <c:pt idx="33">
                  <c:v>38991</c:v>
                </c:pt>
                <c:pt idx="34">
                  <c:v>39022</c:v>
                </c:pt>
                <c:pt idx="35">
                  <c:v>39052</c:v>
                </c:pt>
                <c:pt idx="36">
                  <c:v>39083</c:v>
                </c:pt>
                <c:pt idx="37">
                  <c:v>39114</c:v>
                </c:pt>
                <c:pt idx="38">
                  <c:v>39142</c:v>
                </c:pt>
                <c:pt idx="39">
                  <c:v>39173</c:v>
                </c:pt>
                <c:pt idx="40">
                  <c:v>39203</c:v>
                </c:pt>
                <c:pt idx="41">
                  <c:v>39234</c:v>
                </c:pt>
                <c:pt idx="42">
                  <c:v>39264</c:v>
                </c:pt>
                <c:pt idx="43">
                  <c:v>39295</c:v>
                </c:pt>
                <c:pt idx="44">
                  <c:v>39326</c:v>
                </c:pt>
                <c:pt idx="45">
                  <c:v>39356</c:v>
                </c:pt>
                <c:pt idx="46">
                  <c:v>39387</c:v>
                </c:pt>
                <c:pt idx="47">
                  <c:v>39417</c:v>
                </c:pt>
                <c:pt idx="48">
                  <c:v>39448</c:v>
                </c:pt>
                <c:pt idx="49">
                  <c:v>39479</c:v>
                </c:pt>
                <c:pt idx="50">
                  <c:v>39508</c:v>
                </c:pt>
                <c:pt idx="51">
                  <c:v>39539</c:v>
                </c:pt>
                <c:pt idx="52">
                  <c:v>39569</c:v>
                </c:pt>
                <c:pt idx="53">
                  <c:v>39600</c:v>
                </c:pt>
                <c:pt idx="54">
                  <c:v>39630</c:v>
                </c:pt>
                <c:pt idx="55">
                  <c:v>39661</c:v>
                </c:pt>
                <c:pt idx="56">
                  <c:v>39692</c:v>
                </c:pt>
                <c:pt idx="57">
                  <c:v>39722</c:v>
                </c:pt>
                <c:pt idx="58">
                  <c:v>39753</c:v>
                </c:pt>
                <c:pt idx="59">
                  <c:v>39783</c:v>
                </c:pt>
                <c:pt idx="60">
                  <c:v>39814</c:v>
                </c:pt>
                <c:pt idx="61">
                  <c:v>39845</c:v>
                </c:pt>
                <c:pt idx="62">
                  <c:v>39873</c:v>
                </c:pt>
                <c:pt idx="63">
                  <c:v>39904</c:v>
                </c:pt>
                <c:pt idx="64">
                  <c:v>39934</c:v>
                </c:pt>
                <c:pt idx="65">
                  <c:v>39965</c:v>
                </c:pt>
                <c:pt idx="66">
                  <c:v>39995</c:v>
                </c:pt>
                <c:pt idx="67">
                  <c:v>40026</c:v>
                </c:pt>
                <c:pt idx="68">
                  <c:v>40057</c:v>
                </c:pt>
                <c:pt idx="69">
                  <c:v>40087</c:v>
                </c:pt>
                <c:pt idx="70">
                  <c:v>40118</c:v>
                </c:pt>
                <c:pt idx="71">
                  <c:v>40148</c:v>
                </c:pt>
                <c:pt idx="72">
                  <c:v>40179</c:v>
                </c:pt>
                <c:pt idx="73">
                  <c:v>40210</c:v>
                </c:pt>
                <c:pt idx="74">
                  <c:v>40238</c:v>
                </c:pt>
                <c:pt idx="75">
                  <c:v>40269</c:v>
                </c:pt>
                <c:pt idx="76">
                  <c:v>40299</c:v>
                </c:pt>
                <c:pt idx="77">
                  <c:v>40330</c:v>
                </c:pt>
                <c:pt idx="78">
                  <c:v>40360</c:v>
                </c:pt>
                <c:pt idx="79">
                  <c:v>40391</c:v>
                </c:pt>
                <c:pt idx="80">
                  <c:v>40422</c:v>
                </c:pt>
                <c:pt idx="81">
                  <c:v>40452</c:v>
                </c:pt>
                <c:pt idx="82">
                  <c:v>40483</c:v>
                </c:pt>
                <c:pt idx="83">
                  <c:v>40513</c:v>
                </c:pt>
                <c:pt idx="84">
                  <c:v>40544</c:v>
                </c:pt>
                <c:pt idx="85">
                  <c:v>40575</c:v>
                </c:pt>
                <c:pt idx="86">
                  <c:v>40603</c:v>
                </c:pt>
                <c:pt idx="87">
                  <c:v>40634</c:v>
                </c:pt>
                <c:pt idx="88">
                  <c:v>40664</c:v>
                </c:pt>
                <c:pt idx="89">
                  <c:v>40695</c:v>
                </c:pt>
                <c:pt idx="90">
                  <c:v>40725</c:v>
                </c:pt>
                <c:pt idx="91">
                  <c:v>40756</c:v>
                </c:pt>
                <c:pt idx="92">
                  <c:v>40787</c:v>
                </c:pt>
                <c:pt idx="93">
                  <c:v>40817</c:v>
                </c:pt>
                <c:pt idx="94">
                  <c:v>40848</c:v>
                </c:pt>
                <c:pt idx="95">
                  <c:v>40878</c:v>
                </c:pt>
                <c:pt idx="96">
                  <c:v>40909</c:v>
                </c:pt>
                <c:pt idx="97">
                  <c:v>40940</c:v>
                </c:pt>
                <c:pt idx="98">
                  <c:v>40969</c:v>
                </c:pt>
                <c:pt idx="99">
                  <c:v>41000</c:v>
                </c:pt>
                <c:pt idx="100">
                  <c:v>41030</c:v>
                </c:pt>
                <c:pt idx="101">
                  <c:v>41061</c:v>
                </c:pt>
                <c:pt idx="102">
                  <c:v>41091</c:v>
                </c:pt>
                <c:pt idx="103">
                  <c:v>41122</c:v>
                </c:pt>
                <c:pt idx="104">
                  <c:v>41153</c:v>
                </c:pt>
                <c:pt idx="105">
                  <c:v>41183</c:v>
                </c:pt>
                <c:pt idx="106">
                  <c:v>41214</c:v>
                </c:pt>
                <c:pt idx="107">
                  <c:v>41244</c:v>
                </c:pt>
                <c:pt idx="108">
                  <c:v>41275</c:v>
                </c:pt>
                <c:pt idx="109">
                  <c:v>41306</c:v>
                </c:pt>
                <c:pt idx="110">
                  <c:v>41334</c:v>
                </c:pt>
                <c:pt idx="111">
                  <c:v>41365</c:v>
                </c:pt>
                <c:pt idx="112">
                  <c:v>41395</c:v>
                </c:pt>
                <c:pt idx="113">
                  <c:v>41426</c:v>
                </c:pt>
                <c:pt idx="114">
                  <c:v>41456</c:v>
                </c:pt>
                <c:pt idx="115">
                  <c:v>41487</c:v>
                </c:pt>
                <c:pt idx="116">
                  <c:v>41518</c:v>
                </c:pt>
                <c:pt idx="117">
                  <c:v>41548</c:v>
                </c:pt>
                <c:pt idx="118">
                  <c:v>41579</c:v>
                </c:pt>
                <c:pt idx="119">
                  <c:v>41609</c:v>
                </c:pt>
                <c:pt idx="120">
                  <c:v>41640</c:v>
                </c:pt>
                <c:pt idx="121">
                  <c:v>41671</c:v>
                </c:pt>
                <c:pt idx="122">
                  <c:v>41699</c:v>
                </c:pt>
                <c:pt idx="123">
                  <c:v>41730</c:v>
                </c:pt>
                <c:pt idx="124">
                  <c:v>41760</c:v>
                </c:pt>
                <c:pt idx="125">
                  <c:v>41791</c:v>
                </c:pt>
                <c:pt idx="126">
                  <c:v>41821</c:v>
                </c:pt>
                <c:pt idx="127">
                  <c:v>41852</c:v>
                </c:pt>
                <c:pt idx="128">
                  <c:v>41883</c:v>
                </c:pt>
                <c:pt idx="129">
                  <c:v>41913</c:v>
                </c:pt>
                <c:pt idx="130">
                  <c:v>41944</c:v>
                </c:pt>
                <c:pt idx="131">
                  <c:v>41974</c:v>
                </c:pt>
                <c:pt idx="132">
                  <c:v>42005</c:v>
                </c:pt>
                <c:pt idx="133">
                  <c:v>42036</c:v>
                </c:pt>
                <c:pt idx="134">
                  <c:v>42064</c:v>
                </c:pt>
                <c:pt idx="135">
                  <c:v>42095</c:v>
                </c:pt>
                <c:pt idx="136">
                  <c:v>42125</c:v>
                </c:pt>
                <c:pt idx="137">
                  <c:v>42156</c:v>
                </c:pt>
                <c:pt idx="138">
                  <c:v>42186</c:v>
                </c:pt>
                <c:pt idx="139">
                  <c:v>42217</c:v>
                </c:pt>
                <c:pt idx="140">
                  <c:v>42248</c:v>
                </c:pt>
                <c:pt idx="141">
                  <c:v>42278</c:v>
                </c:pt>
                <c:pt idx="142">
                  <c:v>42309</c:v>
                </c:pt>
                <c:pt idx="143">
                  <c:v>42339</c:v>
                </c:pt>
                <c:pt idx="144">
                  <c:v>42370</c:v>
                </c:pt>
                <c:pt idx="145">
                  <c:v>42401</c:v>
                </c:pt>
                <c:pt idx="146">
                  <c:v>42430</c:v>
                </c:pt>
                <c:pt idx="147">
                  <c:v>42461</c:v>
                </c:pt>
                <c:pt idx="148">
                  <c:v>42491</c:v>
                </c:pt>
                <c:pt idx="149">
                  <c:v>42522</c:v>
                </c:pt>
                <c:pt idx="150">
                  <c:v>42552</c:v>
                </c:pt>
                <c:pt idx="151">
                  <c:v>42583</c:v>
                </c:pt>
                <c:pt idx="152">
                  <c:v>42614</c:v>
                </c:pt>
                <c:pt idx="153">
                  <c:v>42644</c:v>
                </c:pt>
                <c:pt idx="154">
                  <c:v>42675</c:v>
                </c:pt>
                <c:pt idx="155">
                  <c:v>42705</c:v>
                </c:pt>
                <c:pt idx="156">
                  <c:v>42736</c:v>
                </c:pt>
                <c:pt idx="157">
                  <c:v>42767</c:v>
                </c:pt>
                <c:pt idx="158">
                  <c:v>42795</c:v>
                </c:pt>
                <c:pt idx="159">
                  <c:v>42826</c:v>
                </c:pt>
                <c:pt idx="160">
                  <c:v>42856</c:v>
                </c:pt>
                <c:pt idx="161">
                  <c:v>42887</c:v>
                </c:pt>
                <c:pt idx="162">
                  <c:v>42917</c:v>
                </c:pt>
                <c:pt idx="163">
                  <c:v>42948</c:v>
                </c:pt>
                <c:pt idx="164">
                  <c:v>42979</c:v>
                </c:pt>
                <c:pt idx="165">
                  <c:v>43009</c:v>
                </c:pt>
                <c:pt idx="166">
                  <c:v>43040</c:v>
                </c:pt>
                <c:pt idx="167">
                  <c:v>43070</c:v>
                </c:pt>
                <c:pt idx="168">
                  <c:v>43101</c:v>
                </c:pt>
                <c:pt idx="169">
                  <c:v>43132</c:v>
                </c:pt>
                <c:pt idx="170">
                  <c:v>43160</c:v>
                </c:pt>
                <c:pt idx="171">
                  <c:v>43191</c:v>
                </c:pt>
                <c:pt idx="172">
                  <c:v>43221</c:v>
                </c:pt>
                <c:pt idx="173">
                  <c:v>43252</c:v>
                </c:pt>
                <c:pt idx="174">
                  <c:v>43282</c:v>
                </c:pt>
                <c:pt idx="175">
                  <c:v>43313</c:v>
                </c:pt>
                <c:pt idx="176">
                  <c:v>43344</c:v>
                </c:pt>
                <c:pt idx="177">
                  <c:v>43374</c:v>
                </c:pt>
                <c:pt idx="178">
                  <c:v>43405</c:v>
                </c:pt>
                <c:pt idx="179">
                  <c:v>43435</c:v>
                </c:pt>
                <c:pt idx="180">
                  <c:v>43466</c:v>
                </c:pt>
                <c:pt idx="181">
                  <c:v>43497</c:v>
                </c:pt>
                <c:pt idx="182">
                  <c:v>43525</c:v>
                </c:pt>
                <c:pt idx="183">
                  <c:v>43556</c:v>
                </c:pt>
                <c:pt idx="184">
                  <c:v>43586</c:v>
                </c:pt>
                <c:pt idx="185">
                  <c:v>43617</c:v>
                </c:pt>
                <c:pt idx="186">
                  <c:v>43647</c:v>
                </c:pt>
                <c:pt idx="187">
                  <c:v>43678</c:v>
                </c:pt>
                <c:pt idx="188">
                  <c:v>43709</c:v>
                </c:pt>
                <c:pt idx="189">
                  <c:v>43739</c:v>
                </c:pt>
                <c:pt idx="190">
                  <c:v>43770</c:v>
                </c:pt>
                <c:pt idx="191">
                  <c:v>43800</c:v>
                </c:pt>
                <c:pt idx="192">
                  <c:v>43831</c:v>
                </c:pt>
                <c:pt idx="193">
                  <c:v>43862</c:v>
                </c:pt>
                <c:pt idx="194">
                  <c:v>43891</c:v>
                </c:pt>
                <c:pt idx="195">
                  <c:v>43922</c:v>
                </c:pt>
                <c:pt idx="196">
                  <c:v>43952</c:v>
                </c:pt>
                <c:pt idx="197">
                  <c:v>43983</c:v>
                </c:pt>
                <c:pt idx="198">
                  <c:v>44013</c:v>
                </c:pt>
                <c:pt idx="199">
                  <c:v>44044</c:v>
                </c:pt>
                <c:pt idx="200">
                  <c:v>44075</c:v>
                </c:pt>
                <c:pt idx="201">
                  <c:v>44105</c:v>
                </c:pt>
                <c:pt idx="202">
                  <c:v>44136</c:v>
                </c:pt>
                <c:pt idx="203">
                  <c:v>44166</c:v>
                </c:pt>
                <c:pt idx="204">
                  <c:v>44197</c:v>
                </c:pt>
                <c:pt idx="205">
                  <c:v>44228</c:v>
                </c:pt>
                <c:pt idx="206">
                  <c:v>44256</c:v>
                </c:pt>
                <c:pt idx="207">
                  <c:v>44287</c:v>
                </c:pt>
                <c:pt idx="208">
                  <c:v>44317</c:v>
                </c:pt>
                <c:pt idx="209">
                  <c:v>44348</c:v>
                </c:pt>
                <c:pt idx="210">
                  <c:v>44378</c:v>
                </c:pt>
                <c:pt idx="211">
                  <c:v>44409</c:v>
                </c:pt>
                <c:pt idx="212">
                  <c:v>44440</c:v>
                </c:pt>
                <c:pt idx="213">
                  <c:v>44470</c:v>
                </c:pt>
                <c:pt idx="214">
                  <c:v>44501</c:v>
                </c:pt>
                <c:pt idx="215">
                  <c:v>44531</c:v>
                </c:pt>
                <c:pt idx="216">
                  <c:v>44562</c:v>
                </c:pt>
                <c:pt idx="217">
                  <c:v>44593</c:v>
                </c:pt>
                <c:pt idx="218">
                  <c:v>44621</c:v>
                </c:pt>
              </c:numCache>
            </c:numRef>
          </c:cat>
          <c:val>
            <c:numRef>
              <c:f>Analysis!$O$2:$O$220</c:f>
              <c:numCache>
                <c:formatCode>General</c:formatCode>
                <c:ptCount val="219"/>
                <c:pt idx="0">
                  <c:v>23</c:v>
                </c:pt>
                <c:pt idx="1">
                  <c:v>24</c:v>
                </c:pt>
                <c:pt idx="2">
                  <c:v>23</c:v>
                </c:pt>
                <c:pt idx="3">
                  <c:v>16</c:v>
                </c:pt>
                <c:pt idx="4">
                  <c:v>15</c:v>
                </c:pt>
                <c:pt idx="5">
                  <c:v>12</c:v>
                </c:pt>
                <c:pt idx="6">
                  <c:v>11</c:v>
                </c:pt>
                <c:pt idx="7">
                  <c:v>14</c:v>
                </c:pt>
                <c:pt idx="8">
                  <c:v>18</c:v>
                </c:pt>
                <c:pt idx="9">
                  <c:v>17</c:v>
                </c:pt>
                <c:pt idx="10">
                  <c:v>20</c:v>
                </c:pt>
                <c:pt idx="11">
                  <c:v>20</c:v>
                </c:pt>
                <c:pt idx="12">
                  <c:v>21</c:v>
                </c:pt>
                <c:pt idx="13">
                  <c:v>22</c:v>
                </c:pt>
                <c:pt idx="14">
                  <c:v>21</c:v>
                </c:pt>
                <c:pt idx="15">
                  <c:v>12</c:v>
                </c:pt>
                <c:pt idx="16">
                  <c:v>11</c:v>
                </c:pt>
                <c:pt idx="17">
                  <c:v>9</c:v>
                </c:pt>
                <c:pt idx="18">
                  <c:v>9</c:v>
                </c:pt>
                <c:pt idx="19">
                  <c:v>12</c:v>
                </c:pt>
                <c:pt idx="20">
                  <c:v>15</c:v>
                </c:pt>
                <c:pt idx="21">
                  <c:v>18</c:v>
                </c:pt>
                <c:pt idx="22">
                  <c:v>23</c:v>
                </c:pt>
                <c:pt idx="23">
                  <c:v>23</c:v>
                </c:pt>
                <c:pt idx="24">
                  <c:v>23</c:v>
                </c:pt>
                <c:pt idx="25">
                  <c:v>26</c:v>
                </c:pt>
                <c:pt idx="26">
                  <c:v>23</c:v>
                </c:pt>
                <c:pt idx="27">
                  <c:v>14</c:v>
                </c:pt>
                <c:pt idx="28">
                  <c:v>13</c:v>
                </c:pt>
                <c:pt idx="29">
                  <c:v>10</c:v>
                </c:pt>
                <c:pt idx="30">
                  <c:v>9</c:v>
                </c:pt>
                <c:pt idx="31">
                  <c:v>11</c:v>
                </c:pt>
                <c:pt idx="32">
                  <c:v>15</c:v>
                </c:pt>
                <c:pt idx="33">
                  <c:v>19</c:v>
                </c:pt>
                <c:pt idx="34">
                  <c:v>21</c:v>
                </c:pt>
                <c:pt idx="35">
                  <c:v>24</c:v>
                </c:pt>
                <c:pt idx="36">
                  <c:v>22</c:v>
                </c:pt>
                <c:pt idx="37">
                  <c:v>24</c:v>
                </c:pt>
                <c:pt idx="38">
                  <c:v>22</c:v>
                </c:pt>
                <c:pt idx="39">
                  <c:v>15</c:v>
                </c:pt>
                <c:pt idx="40">
                  <c:v>12</c:v>
                </c:pt>
                <c:pt idx="41">
                  <c:v>10</c:v>
                </c:pt>
                <c:pt idx="42">
                  <c:v>9</c:v>
                </c:pt>
                <c:pt idx="43">
                  <c:v>11</c:v>
                </c:pt>
                <c:pt idx="44">
                  <c:v>14</c:v>
                </c:pt>
                <c:pt idx="45">
                  <c:v>18</c:v>
                </c:pt>
                <c:pt idx="46">
                  <c:v>21</c:v>
                </c:pt>
                <c:pt idx="47">
                  <c:v>22</c:v>
                </c:pt>
                <c:pt idx="48">
                  <c:v>22</c:v>
                </c:pt>
                <c:pt idx="49">
                  <c:v>23</c:v>
                </c:pt>
                <c:pt idx="50">
                  <c:v>21</c:v>
                </c:pt>
                <c:pt idx="51">
                  <c:v>15</c:v>
                </c:pt>
                <c:pt idx="52">
                  <c:v>12</c:v>
                </c:pt>
                <c:pt idx="53">
                  <c:v>10</c:v>
                </c:pt>
                <c:pt idx="54">
                  <c:v>9</c:v>
                </c:pt>
                <c:pt idx="55">
                  <c:v>11</c:v>
                </c:pt>
                <c:pt idx="56">
                  <c:v>14</c:v>
                </c:pt>
                <c:pt idx="57">
                  <c:v>17</c:v>
                </c:pt>
                <c:pt idx="58">
                  <c:v>20</c:v>
                </c:pt>
                <c:pt idx="59">
                  <c:v>19</c:v>
                </c:pt>
                <c:pt idx="60">
                  <c:v>20</c:v>
                </c:pt>
                <c:pt idx="61">
                  <c:v>20</c:v>
                </c:pt>
                <c:pt idx="62">
                  <c:v>20</c:v>
                </c:pt>
                <c:pt idx="63">
                  <c:v>13</c:v>
                </c:pt>
                <c:pt idx="64">
                  <c:v>13</c:v>
                </c:pt>
                <c:pt idx="65">
                  <c:v>10</c:v>
                </c:pt>
                <c:pt idx="66">
                  <c:v>9</c:v>
                </c:pt>
                <c:pt idx="67">
                  <c:v>10</c:v>
                </c:pt>
                <c:pt idx="68">
                  <c:v>13</c:v>
                </c:pt>
                <c:pt idx="69">
                  <c:v>17</c:v>
                </c:pt>
                <c:pt idx="70">
                  <c:v>18</c:v>
                </c:pt>
                <c:pt idx="71">
                  <c:v>19</c:v>
                </c:pt>
                <c:pt idx="72">
                  <c:v>20</c:v>
                </c:pt>
                <c:pt idx="73">
                  <c:v>23</c:v>
                </c:pt>
                <c:pt idx="74">
                  <c:v>20</c:v>
                </c:pt>
                <c:pt idx="75">
                  <c:v>13</c:v>
                </c:pt>
                <c:pt idx="76">
                  <c:v>12</c:v>
                </c:pt>
                <c:pt idx="77">
                  <c:v>10</c:v>
                </c:pt>
                <c:pt idx="78">
                  <c:v>8</c:v>
                </c:pt>
                <c:pt idx="79">
                  <c:v>9</c:v>
                </c:pt>
                <c:pt idx="80">
                  <c:v>12</c:v>
                </c:pt>
                <c:pt idx="81">
                  <c:v>15</c:v>
                </c:pt>
                <c:pt idx="82">
                  <c:v>16</c:v>
                </c:pt>
                <c:pt idx="83">
                  <c:v>17</c:v>
                </c:pt>
                <c:pt idx="84">
                  <c:v>23</c:v>
                </c:pt>
                <c:pt idx="85">
                  <c:v>23</c:v>
                </c:pt>
                <c:pt idx="86">
                  <c:v>22</c:v>
                </c:pt>
                <c:pt idx="87">
                  <c:v>11</c:v>
                </c:pt>
                <c:pt idx="88">
                  <c:v>10</c:v>
                </c:pt>
                <c:pt idx="89">
                  <c:v>9</c:v>
                </c:pt>
                <c:pt idx="90">
                  <c:v>7</c:v>
                </c:pt>
                <c:pt idx="91">
                  <c:v>8</c:v>
                </c:pt>
                <c:pt idx="92">
                  <c:v>11</c:v>
                </c:pt>
                <c:pt idx="93">
                  <c:v>15</c:v>
                </c:pt>
                <c:pt idx="94">
                  <c:v>19</c:v>
                </c:pt>
                <c:pt idx="95">
                  <c:v>20</c:v>
                </c:pt>
                <c:pt idx="96">
                  <c:v>23</c:v>
                </c:pt>
                <c:pt idx="97">
                  <c:v>22</c:v>
                </c:pt>
                <c:pt idx="98">
                  <c:v>21</c:v>
                </c:pt>
                <c:pt idx="99">
                  <c:v>12</c:v>
                </c:pt>
                <c:pt idx="100">
                  <c:v>10</c:v>
                </c:pt>
                <c:pt idx="101">
                  <c:v>8</c:v>
                </c:pt>
                <c:pt idx="102">
                  <c:v>7</c:v>
                </c:pt>
                <c:pt idx="103">
                  <c:v>8</c:v>
                </c:pt>
                <c:pt idx="104">
                  <c:v>10</c:v>
                </c:pt>
                <c:pt idx="105">
                  <c:v>13</c:v>
                </c:pt>
                <c:pt idx="106">
                  <c:v>17</c:v>
                </c:pt>
                <c:pt idx="107">
                  <c:v>18</c:v>
                </c:pt>
                <c:pt idx="108">
                  <c:v>23</c:v>
                </c:pt>
                <c:pt idx="109">
                  <c:v>24</c:v>
                </c:pt>
                <c:pt idx="110">
                  <c:v>22</c:v>
                </c:pt>
                <c:pt idx="111">
                  <c:v>11</c:v>
                </c:pt>
                <c:pt idx="112">
                  <c:v>11</c:v>
                </c:pt>
                <c:pt idx="113">
                  <c:v>9</c:v>
                </c:pt>
                <c:pt idx="114">
                  <c:v>7</c:v>
                </c:pt>
                <c:pt idx="115">
                  <c:v>8</c:v>
                </c:pt>
                <c:pt idx="116">
                  <c:v>10</c:v>
                </c:pt>
                <c:pt idx="117">
                  <c:v>14</c:v>
                </c:pt>
                <c:pt idx="118">
                  <c:v>18</c:v>
                </c:pt>
                <c:pt idx="119">
                  <c:v>19</c:v>
                </c:pt>
                <c:pt idx="120">
                  <c:v>20</c:v>
                </c:pt>
                <c:pt idx="121">
                  <c:v>25</c:v>
                </c:pt>
                <c:pt idx="122">
                  <c:v>21</c:v>
                </c:pt>
                <c:pt idx="123">
                  <c:v>11</c:v>
                </c:pt>
                <c:pt idx="124">
                  <c:v>9</c:v>
                </c:pt>
                <c:pt idx="125">
                  <c:v>8</c:v>
                </c:pt>
                <c:pt idx="126">
                  <c:v>6</c:v>
                </c:pt>
                <c:pt idx="127">
                  <c:v>7</c:v>
                </c:pt>
                <c:pt idx="128">
                  <c:v>9</c:v>
                </c:pt>
                <c:pt idx="129">
                  <c:v>14</c:v>
                </c:pt>
                <c:pt idx="130">
                  <c:v>18</c:v>
                </c:pt>
                <c:pt idx="131">
                  <c:v>18</c:v>
                </c:pt>
                <c:pt idx="132">
                  <c:v>20</c:v>
                </c:pt>
                <c:pt idx="133">
                  <c:v>20</c:v>
                </c:pt>
                <c:pt idx="134">
                  <c:v>19</c:v>
                </c:pt>
                <c:pt idx="135">
                  <c:v>11</c:v>
                </c:pt>
                <c:pt idx="136">
                  <c:v>10</c:v>
                </c:pt>
                <c:pt idx="137">
                  <c:v>8</c:v>
                </c:pt>
                <c:pt idx="138">
                  <c:v>6</c:v>
                </c:pt>
                <c:pt idx="139">
                  <c:v>7</c:v>
                </c:pt>
                <c:pt idx="140">
                  <c:v>9</c:v>
                </c:pt>
                <c:pt idx="141">
                  <c:v>14</c:v>
                </c:pt>
                <c:pt idx="142">
                  <c:v>17</c:v>
                </c:pt>
                <c:pt idx="143">
                  <c:v>18</c:v>
                </c:pt>
                <c:pt idx="144">
                  <c:v>19</c:v>
                </c:pt>
                <c:pt idx="145">
                  <c:v>22</c:v>
                </c:pt>
                <c:pt idx="146">
                  <c:v>18</c:v>
                </c:pt>
                <c:pt idx="147">
                  <c:v>12</c:v>
                </c:pt>
                <c:pt idx="148">
                  <c:v>10</c:v>
                </c:pt>
                <c:pt idx="149">
                  <c:v>7</c:v>
                </c:pt>
                <c:pt idx="150">
                  <c:v>6</c:v>
                </c:pt>
                <c:pt idx="151">
                  <c:v>7</c:v>
                </c:pt>
                <c:pt idx="152">
                  <c:v>13</c:v>
                </c:pt>
                <c:pt idx="153">
                  <c:v>13</c:v>
                </c:pt>
                <c:pt idx="154">
                  <c:v>15</c:v>
                </c:pt>
                <c:pt idx="155">
                  <c:v>17</c:v>
                </c:pt>
                <c:pt idx="156">
                  <c:v>17</c:v>
                </c:pt>
                <c:pt idx="157">
                  <c:v>19</c:v>
                </c:pt>
                <c:pt idx="158">
                  <c:v>19</c:v>
                </c:pt>
                <c:pt idx="159">
                  <c:v>10</c:v>
                </c:pt>
                <c:pt idx="160">
                  <c:v>10</c:v>
                </c:pt>
                <c:pt idx="161">
                  <c:v>7</c:v>
                </c:pt>
                <c:pt idx="162">
                  <c:v>6</c:v>
                </c:pt>
                <c:pt idx="163">
                  <c:v>6</c:v>
                </c:pt>
                <c:pt idx="164">
                  <c:v>9</c:v>
                </c:pt>
                <c:pt idx="165">
                  <c:v>13</c:v>
                </c:pt>
                <c:pt idx="166">
                  <c:v>16</c:v>
                </c:pt>
                <c:pt idx="167">
                  <c:v>16</c:v>
                </c:pt>
                <c:pt idx="168">
                  <c:v>17</c:v>
                </c:pt>
                <c:pt idx="169">
                  <c:v>21</c:v>
                </c:pt>
                <c:pt idx="170">
                  <c:v>18</c:v>
                </c:pt>
                <c:pt idx="171">
                  <c:v>11</c:v>
                </c:pt>
                <c:pt idx="172">
                  <c:v>8</c:v>
                </c:pt>
                <c:pt idx="173">
                  <c:v>6</c:v>
                </c:pt>
                <c:pt idx="174">
                  <c:v>5</c:v>
                </c:pt>
                <c:pt idx="175">
                  <c:v>6</c:v>
                </c:pt>
                <c:pt idx="176">
                  <c:v>8</c:v>
                </c:pt>
                <c:pt idx="177">
                  <c:v>12</c:v>
                </c:pt>
                <c:pt idx="178">
                  <c:v>14</c:v>
                </c:pt>
                <c:pt idx="179">
                  <c:v>16</c:v>
                </c:pt>
                <c:pt idx="180">
                  <c:v>16</c:v>
                </c:pt>
                <c:pt idx="181">
                  <c:v>19</c:v>
                </c:pt>
                <c:pt idx="182">
                  <c:v>19</c:v>
                </c:pt>
                <c:pt idx="183">
                  <c:v>10</c:v>
                </c:pt>
                <c:pt idx="184">
                  <c:v>8</c:v>
                </c:pt>
                <c:pt idx="185">
                  <c:v>6</c:v>
                </c:pt>
                <c:pt idx="186">
                  <c:v>5</c:v>
                </c:pt>
                <c:pt idx="187">
                  <c:v>6</c:v>
                </c:pt>
                <c:pt idx="188">
                  <c:v>8</c:v>
                </c:pt>
                <c:pt idx="189">
                  <c:v>12</c:v>
                </c:pt>
                <c:pt idx="190">
                  <c:v>15</c:v>
                </c:pt>
                <c:pt idx="191">
                  <c:v>16</c:v>
                </c:pt>
                <c:pt idx="192">
                  <c:v>17</c:v>
                </c:pt>
                <c:pt idx="193">
                  <c:v>20</c:v>
                </c:pt>
                <c:pt idx="194">
                  <c:v>13</c:v>
                </c:pt>
                <c:pt idx="195">
                  <c:v>4</c:v>
                </c:pt>
                <c:pt idx="196">
                  <c:v>4</c:v>
                </c:pt>
                <c:pt idx="197">
                  <c:v>4</c:v>
                </c:pt>
                <c:pt idx="198">
                  <c:v>5</c:v>
                </c:pt>
                <c:pt idx="199">
                  <c:v>7</c:v>
                </c:pt>
                <c:pt idx="200">
                  <c:v>8</c:v>
                </c:pt>
                <c:pt idx="201">
                  <c:v>7</c:v>
                </c:pt>
                <c:pt idx="202">
                  <c:v>6</c:v>
                </c:pt>
                <c:pt idx="203">
                  <c:v>6</c:v>
                </c:pt>
                <c:pt idx="204">
                  <c:v>10</c:v>
                </c:pt>
                <c:pt idx="205">
                  <c:v>12</c:v>
                </c:pt>
                <c:pt idx="206">
                  <c:v>13</c:v>
                </c:pt>
                <c:pt idx="207">
                  <c:v>9</c:v>
                </c:pt>
                <c:pt idx="208">
                  <c:v>6</c:v>
                </c:pt>
                <c:pt idx="209">
                  <c:v>6</c:v>
                </c:pt>
                <c:pt idx="210">
                  <c:v>5</c:v>
                </c:pt>
                <c:pt idx="211">
                  <c:v>5</c:v>
                </c:pt>
                <c:pt idx="212">
                  <c:v>6</c:v>
                </c:pt>
                <c:pt idx="213">
                  <c:v>9</c:v>
                </c:pt>
                <c:pt idx="214">
                  <c:v>13</c:v>
                </c:pt>
                <c:pt idx="215">
                  <c:v>13</c:v>
                </c:pt>
                <c:pt idx="216">
                  <c:v>14</c:v>
                </c:pt>
                <c:pt idx="217">
                  <c:v>17</c:v>
                </c:pt>
                <c:pt idx="218">
                  <c:v>17</c:v>
                </c:pt>
              </c:numCache>
            </c:numRef>
          </c:val>
          <c:smooth val="0"/>
          <c:extLst>
            <c:ext xmlns:c16="http://schemas.microsoft.com/office/drawing/2014/chart" uri="{C3380CC4-5D6E-409C-BE32-E72D297353CC}">
              <c16:uniqueId val="{00000000-69DD-4359-B57F-A13F26F4BCD0}"/>
            </c:ext>
          </c:extLst>
        </c:ser>
        <c:ser>
          <c:idx val="1"/>
          <c:order val="1"/>
          <c:tx>
            <c:strRef>
              <c:f>Analysis!$P$1</c:f>
              <c:strCache>
                <c:ptCount val="1"/>
                <c:pt idx="0">
                  <c:v>Snowboarding</c:v>
                </c:pt>
              </c:strCache>
            </c:strRef>
          </c:tx>
          <c:spPr>
            <a:ln w="28575" cap="rnd">
              <a:solidFill>
                <a:schemeClr val="accent2"/>
              </a:solidFill>
              <a:round/>
            </a:ln>
            <a:effectLst/>
          </c:spPr>
          <c:marker>
            <c:symbol val="none"/>
          </c:marker>
          <c:cat>
            <c:numRef>
              <c:f>Analysis!$G$2:$G$220</c:f>
              <c:numCache>
                <c:formatCode>m/yyyy</c:formatCode>
                <c:ptCount val="219"/>
                <c:pt idx="0">
                  <c:v>37987</c:v>
                </c:pt>
                <c:pt idx="1">
                  <c:v>38018</c:v>
                </c:pt>
                <c:pt idx="2">
                  <c:v>38047</c:v>
                </c:pt>
                <c:pt idx="3">
                  <c:v>38078</c:v>
                </c:pt>
                <c:pt idx="4">
                  <c:v>38108</c:v>
                </c:pt>
                <c:pt idx="5">
                  <c:v>38139</c:v>
                </c:pt>
                <c:pt idx="6">
                  <c:v>38169</c:v>
                </c:pt>
                <c:pt idx="7">
                  <c:v>38200</c:v>
                </c:pt>
                <c:pt idx="8">
                  <c:v>38231</c:v>
                </c:pt>
                <c:pt idx="9">
                  <c:v>38261</c:v>
                </c:pt>
                <c:pt idx="10">
                  <c:v>38292</c:v>
                </c:pt>
                <c:pt idx="11">
                  <c:v>38322</c:v>
                </c:pt>
                <c:pt idx="12">
                  <c:v>38353</c:v>
                </c:pt>
                <c:pt idx="13">
                  <c:v>38384</c:v>
                </c:pt>
                <c:pt idx="14">
                  <c:v>38412</c:v>
                </c:pt>
                <c:pt idx="15">
                  <c:v>38443</c:v>
                </c:pt>
                <c:pt idx="16">
                  <c:v>38473</c:v>
                </c:pt>
                <c:pt idx="17">
                  <c:v>38504</c:v>
                </c:pt>
                <c:pt idx="18">
                  <c:v>38534</c:v>
                </c:pt>
                <c:pt idx="19">
                  <c:v>38565</c:v>
                </c:pt>
                <c:pt idx="20">
                  <c:v>38596</c:v>
                </c:pt>
                <c:pt idx="21">
                  <c:v>38626</c:v>
                </c:pt>
                <c:pt idx="22">
                  <c:v>38657</c:v>
                </c:pt>
                <c:pt idx="23">
                  <c:v>38687</c:v>
                </c:pt>
                <c:pt idx="24">
                  <c:v>38718</c:v>
                </c:pt>
                <c:pt idx="25">
                  <c:v>38749</c:v>
                </c:pt>
                <c:pt idx="26">
                  <c:v>38777</c:v>
                </c:pt>
                <c:pt idx="27">
                  <c:v>38808</c:v>
                </c:pt>
                <c:pt idx="28">
                  <c:v>38838</c:v>
                </c:pt>
                <c:pt idx="29">
                  <c:v>38869</c:v>
                </c:pt>
                <c:pt idx="30">
                  <c:v>38899</c:v>
                </c:pt>
                <c:pt idx="31">
                  <c:v>38930</c:v>
                </c:pt>
                <c:pt idx="32">
                  <c:v>38961</c:v>
                </c:pt>
                <c:pt idx="33">
                  <c:v>38991</c:v>
                </c:pt>
                <c:pt idx="34">
                  <c:v>39022</c:v>
                </c:pt>
                <c:pt idx="35">
                  <c:v>39052</c:v>
                </c:pt>
                <c:pt idx="36">
                  <c:v>39083</c:v>
                </c:pt>
                <c:pt idx="37">
                  <c:v>39114</c:v>
                </c:pt>
                <c:pt idx="38">
                  <c:v>39142</c:v>
                </c:pt>
                <c:pt idx="39">
                  <c:v>39173</c:v>
                </c:pt>
                <c:pt idx="40">
                  <c:v>39203</c:v>
                </c:pt>
                <c:pt idx="41">
                  <c:v>39234</c:v>
                </c:pt>
                <c:pt idx="42">
                  <c:v>39264</c:v>
                </c:pt>
                <c:pt idx="43">
                  <c:v>39295</c:v>
                </c:pt>
                <c:pt idx="44">
                  <c:v>39326</c:v>
                </c:pt>
                <c:pt idx="45">
                  <c:v>39356</c:v>
                </c:pt>
                <c:pt idx="46">
                  <c:v>39387</c:v>
                </c:pt>
                <c:pt idx="47">
                  <c:v>39417</c:v>
                </c:pt>
                <c:pt idx="48">
                  <c:v>39448</c:v>
                </c:pt>
                <c:pt idx="49">
                  <c:v>39479</c:v>
                </c:pt>
                <c:pt idx="50">
                  <c:v>39508</c:v>
                </c:pt>
                <c:pt idx="51">
                  <c:v>39539</c:v>
                </c:pt>
                <c:pt idx="52">
                  <c:v>39569</c:v>
                </c:pt>
                <c:pt idx="53">
                  <c:v>39600</c:v>
                </c:pt>
                <c:pt idx="54">
                  <c:v>39630</c:v>
                </c:pt>
                <c:pt idx="55">
                  <c:v>39661</c:v>
                </c:pt>
                <c:pt idx="56">
                  <c:v>39692</c:v>
                </c:pt>
                <c:pt idx="57">
                  <c:v>39722</c:v>
                </c:pt>
                <c:pt idx="58">
                  <c:v>39753</c:v>
                </c:pt>
                <c:pt idx="59">
                  <c:v>39783</c:v>
                </c:pt>
                <c:pt idx="60">
                  <c:v>39814</c:v>
                </c:pt>
                <c:pt idx="61">
                  <c:v>39845</c:v>
                </c:pt>
                <c:pt idx="62">
                  <c:v>39873</c:v>
                </c:pt>
                <c:pt idx="63">
                  <c:v>39904</c:v>
                </c:pt>
                <c:pt idx="64">
                  <c:v>39934</c:v>
                </c:pt>
                <c:pt idx="65">
                  <c:v>39965</c:v>
                </c:pt>
                <c:pt idx="66">
                  <c:v>39995</c:v>
                </c:pt>
                <c:pt idx="67">
                  <c:v>40026</c:v>
                </c:pt>
                <c:pt idx="68">
                  <c:v>40057</c:v>
                </c:pt>
                <c:pt idx="69">
                  <c:v>40087</c:v>
                </c:pt>
                <c:pt idx="70">
                  <c:v>40118</c:v>
                </c:pt>
                <c:pt idx="71">
                  <c:v>40148</c:v>
                </c:pt>
                <c:pt idx="72">
                  <c:v>40179</c:v>
                </c:pt>
                <c:pt idx="73">
                  <c:v>40210</c:v>
                </c:pt>
                <c:pt idx="74">
                  <c:v>40238</c:v>
                </c:pt>
                <c:pt idx="75">
                  <c:v>40269</c:v>
                </c:pt>
                <c:pt idx="76">
                  <c:v>40299</c:v>
                </c:pt>
                <c:pt idx="77">
                  <c:v>40330</c:v>
                </c:pt>
                <c:pt idx="78">
                  <c:v>40360</c:v>
                </c:pt>
                <c:pt idx="79">
                  <c:v>40391</c:v>
                </c:pt>
                <c:pt idx="80">
                  <c:v>40422</c:v>
                </c:pt>
                <c:pt idx="81">
                  <c:v>40452</c:v>
                </c:pt>
                <c:pt idx="82">
                  <c:v>40483</c:v>
                </c:pt>
                <c:pt idx="83">
                  <c:v>40513</c:v>
                </c:pt>
                <c:pt idx="84">
                  <c:v>40544</c:v>
                </c:pt>
                <c:pt idx="85">
                  <c:v>40575</c:v>
                </c:pt>
                <c:pt idx="86">
                  <c:v>40603</c:v>
                </c:pt>
                <c:pt idx="87">
                  <c:v>40634</c:v>
                </c:pt>
                <c:pt idx="88">
                  <c:v>40664</c:v>
                </c:pt>
                <c:pt idx="89">
                  <c:v>40695</c:v>
                </c:pt>
                <c:pt idx="90">
                  <c:v>40725</c:v>
                </c:pt>
                <c:pt idx="91">
                  <c:v>40756</c:v>
                </c:pt>
                <c:pt idx="92">
                  <c:v>40787</c:v>
                </c:pt>
                <c:pt idx="93">
                  <c:v>40817</c:v>
                </c:pt>
                <c:pt idx="94">
                  <c:v>40848</c:v>
                </c:pt>
                <c:pt idx="95">
                  <c:v>40878</c:v>
                </c:pt>
                <c:pt idx="96">
                  <c:v>40909</c:v>
                </c:pt>
                <c:pt idx="97">
                  <c:v>40940</c:v>
                </c:pt>
                <c:pt idx="98">
                  <c:v>40969</c:v>
                </c:pt>
                <c:pt idx="99">
                  <c:v>41000</c:v>
                </c:pt>
                <c:pt idx="100">
                  <c:v>41030</c:v>
                </c:pt>
                <c:pt idx="101">
                  <c:v>41061</c:v>
                </c:pt>
                <c:pt idx="102">
                  <c:v>41091</c:v>
                </c:pt>
                <c:pt idx="103">
                  <c:v>41122</c:v>
                </c:pt>
                <c:pt idx="104">
                  <c:v>41153</c:v>
                </c:pt>
                <c:pt idx="105">
                  <c:v>41183</c:v>
                </c:pt>
                <c:pt idx="106">
                  <c:v>41214</c:v>
                </c:pt>
                <c:pt idx="107">
                  <c:v>41244</c:v>
                </c:pt>
                <c:pt idx="108">
                  <c:v>41275</c:v>
                </c:pt>
                <c:pt idx="109">
                  <c:v>41306</c:v>
                </c:pt>
                <c:pt idx="110">
                  <c:v>41334</c:v>
                </c:pt>
                <c:pt idx="111">
                  <c:v>41365</c:v>
                </c:pt>
                <c:pt idx="112">
                  <c:v>41395</c:v>
                </c:pt>
                <c:pt idx="113">
                  <c:v>41426</c:v>
                </c:pt>
                <c:pt idx="114">
                  <c:v>41456</c:v>
                </c:pt>
                <c:pt idx="115">
                  <c:v>41487</c:v>
                </c:pt>
                <c:pt idx="116">
                  <c:v>41518</c:v>
                </c:pt>
                <c:pt idx="117">
                  <c:v>41548</c:v>
                </c:pt>
                <c:pt idx="118">
                  <c:v>41579</c:v>
                </c:pt>
                <c:pt idx="119">
                  <c:v>41609</c:v>
                </c:pt>
                <c:pt idx="120">
                  <c:v>41640</c:v>
                </c:pt>
                <c:pt idx="121">
                  <c:v>41671</c:v>
                </c:pt>
                <c:pt idx="122">
                  <c:v>41699</c:v>
                </c:pt>
                <c:pt idx="123">
                  <c:v>41730</c:v>
                </c:pt>
                <c:pt idx="124">
                  <c:v>41760</c:v>
                </c:pt>
                <c:pt idx="125">
                  <c:v>41791</c:v>
                </c:pt>
                <c:pt idx="126">
                  <c:v>41821</c:v>
                </c:pt>
                <c:pt idx="127">
                  <c:v>41852</c:v>
                </c:pt>
                <c:pt idx="128">
                  <c:v>41883</c:v>
                </c:pt>
                <c:pt idx="129">
                  <c:v>41913</c:v>
                </c:pt>
                <c:pt idx="130">
                  <c:v>41944</c:v>
                </c:pt>
                <c:pt idx="131">
                  <c:v>41974</c:v>
                </c:pt>
                <c:pt idx="132">
                  <c:v>42005</c:v>
                </c:pt>
                <c:pt idx="133">
                  <c:v>42036</c:v>
                </c:pt>
                <c:pt idx="134">
                  <c:v>42064</c:v>
                </c:pt>
                <c:pt idx="135">
                  <c:v>42095</c:v>
                </c:pt>
                <c:pt idx="136">
                  <c:v>42125</c:v>
                </c:pt>
                <c:pt idx="137">
                  <c:v>42156</c:v>
                </c:pt>
                <c:pt idx="138">
                  <c:v>42186</c:v>
                </c:pt>
                <c:pt idx="139">
                  <c:v>42217</c:v>
                </c:pt>
                <c:pt idx="140">
                  <c:v>42248</c:v>
                </c:pt>
                <c:pt idx="141">
                  <c:v>42278</c:v>
                </c:pt>
                <c:pt idx="142">
                  <c:v>42309</c:v>
                </c:pt>
                <c:pt idx="143">
                  <c:v>42339</c:v>
                </c:pt>
                <c:pt idx="144">
                  <c:v>42370</c:v>
                </c:pt>
                <c:pt idx="145">
                  <c:v>42401</c:v>
                </c:pt>
                <c:pt idx="146">
                  <c:v>42430</c:v>
                </c:pt>
                <c:pt idx="147">
                  <c:v>42461</c:v>
                </c:pt>
                <c:pt idx="148">
                  <c:v>42491</c:v>
                </c:pt>
                <c:pt idx="149">
                  <c:v>42522</c:v>
                </c:pt>
                <c:pt idx="150">
                  <c:v>42552</c:v>
                </c:pt>
                <c:pt idx="151">
                  <c:v>42583</c:v>
                </c:pt>
                <c:pt idx="152">
                  <c:v>42614</c:v>
                </c:pt>
                <c:pt idx="153">
                  <c:v>42644</c:v>
                </c:pt>
                <c:pt idx="154">
                  <c:v>42675</c:v>
                </c:pt>
                <c:pt idx="155">
                  <c:v>42705</c:v>
                </c:pt>
                <c:pt idx="156">
                  <c:v>42736</c:v>
                </c:pt>
                <c:pt idx="157">
                  <c:v>42767</c:v>
                </c:pt>
                <c:pt idx="158">
                  <c:v>42795</c:v>
                </c:pt>
                <c:pt idx="159">
                  <c:v>42826</c:v>
                </c:pt>
                <c:pt idx="160">
                  <c:v>42856</c:v>
                </c:pt>
                <c:pt idx="161">
                  <c:v>42887</c:v>
                </c:pt>
                <c:pt idx="162">
                  <c:v>42917</c:v>
                </c:pt>
                <c:pt idx="163">
                  <c:v>42948</c:v>
                </c:pt>
                <c:pt idx="164">
                  <c:v>42979</c:v>
                </c:pt>
                <c:pt idx="165">
                  <c:v>43009</c:v>
                </c:pt>
                <c:pt idx="166">
                  <c:v>43040</c:v>
                </c:pt>
                <c:pt idx="167">
                  <c:v>43070</c:v>
                </c:pt>
                <c:pt idx="168">
                  <c:v>43101</c:v>
                </c:pt>
                <c:pt idx="169">
                  <c:v>43132</c:v>
                </c:pt>
                <c:pt idx="170">
                  <c:v>43160</c:v>
                </c:pt>
                <c:pt idx="171">
                  <c:v>43191</c:v>
                </c:pt>
                <c:pt idx="172">
                  <c:v>43221</c:v>
                </c:pt>
                <c:pt idx="173">
                  <c:v>43252</c:v>
                </c:pt>
                <c:pt idx="174">
                  <c:v>43282</c:v>
                </c:pt>
                <c:pt idx="175">
                  <c:v>43313</c:v>
                </c:pt>
                <c:pt idx="176">
                  <c:v>43344</c:v>
                </c:pt>
                <c:pt idx="177">
                  <c:v>43374</c:v>
                </c:pt>
                <c:pt idx="178">
                  <c:v>43405</c:v>
                </c:pt>
                <c:pt idx="179">
                  <c:v>43435</c:v>
                </c:pt>
                <c:pt idx="180">
                  <c:v>43466</c:v>
                </c:pt>
                <c:pt idx="181">
                  <c:v>43497</c:v>
                </c:pt>
                <c:pt idx="182">
                  <c:v>43525</c:v>
                </c:pt>
                <c:pt idx="183">
                  <c:v>43556</c:v>
                </c:pt>
                <c:pt idx="184">
                  <c:v>43586</c:v>
                </c:pt>
                <c:pt idx="185">
                  <c:v>43617</c:v>
                </c:pt>
                <c:pt idx="186">
                  <c:v>43647</c:v>
                </c:pt>
                <c:pt idx="187">
                  <c:v>43678</c:v>
                </c:pt>
                <c:pt idx="188">
                  <c:v>43709</c:v>
                </c:pt>
                <c:pt idx="189">
                  <c:v>43739</c:v>
                </c:pt>
                <c:pt idx="190">
                  <c:v>43770</c:v>
                </c:pt>
                <c:pt idx="191">
                  <c:v>43800</c:v>
                </c:pt>
                <c:pt idx="192">
                  <c:v>43831</c:v>
                </c:pt>
                <c:pt idx="193">
                  <c:v>43862</c:v>
                </c:pt>
                <c:pt idx="194">
                  <c:v>43891</c:v>
                </c:pt>
                <c:pt idx="195">
                  <c:v>43922</c:v>
                </c:pt>
                <c:pt idx="196">
                  <c:v>43952</c:v>
                </c:pt>
                <c:pt idx="197">
                  <c:v>43983</c:v>
                </c:pt>
                <c:pt idx="198">
                  <c:v>44013</c:v>
                </c:pt>
                <c:pt idx="199">
                  <c:v>44044</c:v>
                </c:pt>
                <c:pt idx="200">
                  <c:v>44075</c:v>
                </c:pt>
                <c:pt idx="201">
                  <c:v>44105</c:v>
                </c:pt>
                <c:pt idx="202">
                  <c:v>44136</c:v>
                </c:pt>
                <c:pt idx="203">
                  <c:v>44166</c:v>
                </c:pt>
                <c:pt idx="204">
                  <c:v>44197</c:v>
                </c:pt>
                <c:pt idx="205">
                  <c:v>44228</c:v>
                </c:pt>
                <c:pt idx="206">
                  <c:v>44256</c:v>
                </c:pt>
                <c:pt idx="207">
                  <c:v>44287</c:v>
                </c:pt>
                <c:pt idx="208">
                  <c:v>44317</c:v>
                </c:pt>
                <c:pt idx="209">
                  <c:v>44348</c:v>
                </c:pt>
                <c:pt idx="210">
                  <c:v>44378</c:v>
                </c:pt>
                <c:pt idx="211">
                  <c:v>44409</c:v>
                </c:pt>
                <c:pt idx="212">
                  <c:v>44440</c:v>
                </c:pt>
                <c:pt idx="213">
                  <c:v>44470</c:v>
                </c:pt>
                <c:pt idx="214">
                  <c:v>44501</c:v>
                </c:pt>
                <c:pt idx="215">
                  <c:v>44531</c:v>
                </c:pt>
                <c:pt idx="216">
                  <c:v>44562</c:v>
                </c:pt>
                <c:pt idx="217">
                  <c:v>44593</c:v>
                </c:pt>
                <c:pt idx="218">
                  <c:v>44621</c:v>
                </c:pt>
              </c:numCache>
            </c:numRef>
          </c:cat>
          <c:val>
            <c:numRef>
              <c:f>Analysis!$P$2:$P$220</c:f>
              <c:numCache>
                <c:formatCode>General</c:formatCode>
                <c:ptCount val="219"/>
                <c:pt idx="0">
                  <c:v>34</c:v>
                </c:pt>
                <c:pt idx="1">
                  <c:v>26</c:v>
                </c:pt>
                <c:pt idx="2">
                  <c:v>15</c:v>
                </c:pt>
                <c:pt idx="3">
                  <c:v>8</c:v>
                </c:pt>
                <c:pt idx="4">
                  <c:v>6</c:v>
                </c:pt>
                <c:pt idx="5">
                  <c:v>5</c:v>
                </c:pt>
                <c:pt idx="6">
                  <c:v>6</c:v>
                </c:pt>
                <c:pt idx="7">
                  <c:v>8</c:v>
                </c:pt>
                <c:pt idx="8">
                  <c:v>11</c:v>
                </c:pt>
                <c:pt idx="9">
                  <c:v>18</c:v>
                </c:pt>
                <c:pt idx="10">
                  <c:v>25</c:v>
                </c:pt>
                <c:pt idx="11">
                  <c:v>30</c:v>
                </c:pt>
                <c:pt idx="12">
                  <c:v>29</c:v>
                </c:pt>
                <c:pt idx="13">
                  <c:v>21</c:v>
                </c:pt>
                <c:pt idx="14">
                  <c:v>14</c:v>
                </c:pt>
                <c:pt idx="15">
                  <c:v>7</c:v>
                </c:pt>
                <c:pt idx="16">
                  <c:v>6</c:v>
                </c:pt>
                <c:pt idx="17">
                  <c:v>4</c:v>
                </c:pt>
                <c:pt idx="18">
                  <c:v>6</c:v>
                </c:pt>
                <c:pt idx="19">
                  <c:v>8</c:v>
                </c:pt>
                <c:pt idx="20">
                  <c:v>12</c:v>
                </c:pt>
                <c:pt idx="21">
                  <c:v>17</c:v>
                </c:pt>
                <c:pt idx="22">
                  <c:v>25</c:v>
                </c:pt>
                <c:pt idx="23">
                  <c:v>39</c:v>
                </c:pt>
                <c:pt idx="24">
                  <c:v>30</c:v>
                </c:pt>
                <c:pt idx="25">
                  <c:v>45</c:v>
                </c:pt>
                <c:pt idx="26">
                  <c:v>20</c:v>
                </c:pt>
                <c:pt idx="27">
                  <c:v>7</c:v>
                </c:pt>
                <c:pt idx="28">
                  <c:v>6</c:v>
                </c:pt>
                <c:pt idx="29">
                  <c:v>4</c:v>
                </c:pt>
                <c:pt idx="30">
                  <c:v>5</c:v>
                </c:pt>
                <c:pt idx="31">
                  <c:v>8</c:v>
                </c:pt>
                <c:pt idx="32">
                  <c:v>11</c:v>
                </c:pt>
                <c:pt idx="33">
                  <c:v>16</c:v>
                </c:pt>
                <c:pt idx="34">
                  <c:v>22</c:v>
                </c:pt>
                <c:pt idx="35">
                  <c:v>29</c:v>
                </c:pt>
                <c:pt idx="36">
                  <c:v>23</c:v>
                </c:pt>
                <c:pt idx="37">
                  <c:v>21</c:v>
                </c:pt>
                <c:pt idx="38">
                  <c:v>12</c:v>
                </c:pt>
                <c:pt idx="39">
                  <c:v>6</c:v>
                </c:pt>
                <c:pt idx="40">
                  <c:v>5</c:v>
                </c:pt>
                <c:pt idx="41">
                  <c:v>4</c:v>
                </c:pt>
                <c:pt idx="42">
                  <c:v>5</c:v>
                </c:pt>
                <c:pt idx="43">
                  <c:v>7</c:v>
                </c:pt>
                <c:pt idx="44">
                  <c:v>10</c:v>
                </c:pt>
                <c:pt idx="45">
                  <c:v>14</c:v>
                </c:pt>
                <c:pt idx="46">
                  <c:v>19</c:v>
                </c:pt>
                <c:pt idx="47">
                  <c:v>28</c:v>
                </c:pt>
                <c:pt idx="48">
                  <c:v>23</c:v>
                </c:pt>
                <c:pt idx="49">
                  <c:v>18</c:v>
                </c:pt>
                <c:pt idx="50">
                  <c:v>11</c:v>
                </c:pt>
                <c:pt idx="51">
                  <c:v>5</c:v>
                </c:pt>
                <c:pt idx="52">
                  <c:v>4</c:v>
                </c:pt>
                <c:pt idx="53">
                  <c:v>4</c:v>
                </c:pt>
                <c:pt idx="54">
                  <c:v>4</c:v>
                </c:pt>
                <c:pt idx="55">
                  <c:v>6</c:v>
                </c:pt>
                <c:pt idx="56">
                  <c:v>9</c:v>
                </c:pt>
                <c:pt idx="57">
                  <c:v>13</c:v>
                </c:pt>
                <c:pt idx="58">
                  <c:v>20</c:v>
                </c:pt>
                <c:pt idx="59">
                  <c:v>28</c:v>
                </c:pt>
                <c:pt idx="60">
                  <c:v>23</c:v>
                </c:pt>
                <c:pt idx="61">
                  <c:v>18</c:v>
                </c:pt>
                <c:pt idx="62">
                  <c:v>11</c:v>
                </c:pt>
                <c:pt idx="63">
                  <c:v>5</c:v>
                </c:pt>
                <c:pt idx="64">
                  <c:v>4</c:v>
                </c:pt>
                <c:pt idx="65">
                  <c:v>4</c:v>
                </c:pt>
                <c:pt idx="66">
                  <c:v>4</c:v>
                </c:pt>
                <c:pt idx="67">
                  <c:v>6</c:v>
                </c:pt>
                <c:pt idx="68">
                  <c:v>8</c:v>
                </c:pt>
                <c:pt idx="69">
                  <c:v>12</c:v>
                </c:pt>
                <c:pt idx="70">
                  <c:v>15</c:v>
                </c:pt>
                <c:pt idx="71">
                  <c:v>23</c:v>
                </c:pt>
                <c:pt idx="72">
                  <c:v>25</c:v>
                </c:pt>
                <c:pt idx="73">
                  <c:v>54</c:v>
                </c:pt>
                <c:pt idx="74">
                  <c:v>13</c:v>
                </c:pt>
                <c:pt idx="75">
                  <c:v>5</c:v>
                </c:pt>
                <c:pt idx="76">
                  <c:v>5</c:v>
                </c:pt>
                <c:pt idx="77">
                  <c:v>3</c:v>
                </c:pt>
                <c:pt idx="78">
                  <c:v>3</c:v>
                </c:pt>
                <c:pt idx="79">
                  <c:v>4</c:v>
                </c:pt>
                <c:pt idx="80">
                  <c:v>6</c:v>
                </c:pt>
                <c:pt idx="81">
                  <c:v>8</c:v>
                </c:pt>
                <c:pt idx="82">
                  <c:v>13</c:v>
                </c:pt>
                <c:pt idx="83">
                  <c:v>21</c:v>
                </c:pt>
                <c:pt idx="84">
                  <c:v>21</c:v>
                </c:pt>
                <c:pt idx="85">
                  <c:v>12</c:v>
                </c:pt>
                <c:pt idx="86">
                  <c:v>8</c:v>
                </c:pt>
                <c:pt idx="87">
                  <c:v>4</c:v>
                </c:pt>
                <c:pt idx="88">
                  <c:v>3</c:v>
                </c:pt>
                <c:pt idx="89">
                  <c:v>3</c:v>
                </c:pt>
                <c:pt idx="90">
                  <c:v>3</c:v>
                </c:pt>
                <c:pt idx="91">
                  <c:v>4</c:v>
                </c:pt>
                <c:pt idx="92">
                  <c:v>6</c:v>
                </c:pt>
                <c:pt idx="93">
                  <c:v>8</c:v>
                </c:pt>
                <c:pt idx="94">
                  <c:v>12</c:v>
                </c:pt>
                <c:pt idx="95">
                  <c:v>16</c:v>
                </c:pt>
                <c:pt idx="96">
                  <c:v>17</c:v>
                </c:pt>
                <c:pt idx="97">
                  <c:v>10</c:v>
                </c:pt>
                <c:pt idx="98">
                  <c:v>6</c:v>
                </c:pt>
                <c:pt idx="99">
                  <c:v>3</c:v>
                </c:pt>
                <c:pt idx="100">
                  <c:v>3</c:v>
                </c:pt>
                <c:pt idx="101">
                  <c:v>2</c:v>
                </c:pt>
                <c:pt idx="102">
                  <c:v>2</c:v>
                </c:pt>
                <c:pt idx="103">
                  <c:v>3</c:v>
                </c:pt>
                <c:pt idx="104">
                  <c:v>4</c:v>
                </c:pt>
                <c:pt idx="105">
                  <c:v>6</c:v>
                </c:pt>
                <c:pt idx="106">
                  <c:v>8</c:v>
                </c:pt>
                <c:pt idx="107">
                  <c:v>12</c:v>
                </c:pt>
                <c:pt idx="108">
                  <c:v>15</c:v>
                </c:pt>
                <c:pt idx="109">
                  <c:v>9</c:v>
                </c:pt>
                <c:pt idx="110">
                  <c:v>5</c:v>
                </c:pt>
                <c:pt idx="111">
                  <c:v>3</c:v>
                </c:pt>
                <c:pt idx="112">
                  <c:v>2</c:v>
                </c:pt>
                <c:pt idx="113">
                  <c:v>2</c:v>
                </c:pt>
                <c:pt idx="114">
                  <c:v>2</c:v>
                </c:pt>
                <c:pt idx="115">
                  <c:v>3</c:v>
                </c:pt>
                <c:pt idx="116">
                  <c:v>4</c:v>
                </c:pt>
                <c:pt idx="117">
                  <c:v>5</c:v>
                </c:pt>
                <c:pt idx="118">
                  <c:v>8</c:v>
                </c:pt>
                <c:pt idx="119">
                  <c:v>15</c:v>
                </c:pt>
                <c:pt idx="120">
                  <c:v>16</c:v>
                </c:pt>
                <c:pt idx="121">
                  <c:v>40</c:v>
                </c:pt>
                <c:pt idx="122">
                  <c:v>6</c:v>
                </c:pt>
                <c:pt idx="123">
                  <c:v>3</c:v>
                </c:pt>
                <c:pt idx="124">
                  <c:v>2</c:v>
                </c:pt>
                <c:pt idx="125">
                  <c:v>1</c:v>
                </c:pt>
                <c:pt idx="126">
                  <c:v>2</c:v>
                </c:pt>
                <c:pt idx="127">
                  <c:v>2</c:v>
                </c:pt>
                <c:pt idx="128">
                  <c:v>4</c:v>
                </c:pt>
                <c:pt idx="129">
                  <c:v>4</c:v>
                </c:pt>
                <c:pt idx="130">
                  <c:v>8</c:v>
                </c:pt>
                <c:pt idx="131">
                  <c:v>10</c:v>
                </c:pt>
                <c:pt idx="132">
                  <c:v>11</c:v>
                </c:pt>
                <c:pt idx="133">
                  <c:v>7</c:v>
                </c:pt>
                <c:pt idx="134">
                  <c:v>5</c:v>
                </c:pt>
                <c:pt idx="135">
                  <c:v>2</c:v>
                </c:pt>
                <c:pt idx="136">
                  <c:v>1</c:v>
                </c:pt>
                <c:pt idx="137">
                  <c:v>1</c:v>
                </c:pt>
                <c:pt idx="138">
                  <c:v>2</c:v>
                </c:pt>
                <c:pt idx="139">
                  <c:v>2</c:v>
                </c:pt>
                <c:pt idx="140">
                  <c:v>3</c:v>
                </c:pt>
                <c:pt idx="141">
                  <c:v>4</c:v>
                </c:pt>
                <c:pt idx="142">
                  <c:v>6</c:v>
                </c:pt>
                <c:pt idx="143">
                  <c:v>9</c:v>
                </c:pt>
                <c:pt idx="144">
                  <c:v>13</c:v>
                </c:pt>
                <c:pt idx="145">
                  <c:v>7</c:v>
                </c:pt>
                <c:pt idx="146">
                  <c:v>4</c:v>
                </c:pt>
                <c:pt idx="147">
                  <c:v>2</c:v>
                </c:pt>
                <c:pt idx="148">
                  <c:v>2</c:v>
                </c:pt>
                <c:pt idx="149">
                  <c:v>1</c:v>
                </c:pt>
                <c:pt idx="150">
                  <c:v>2</c:v>
                </c:pt>
                <c:pt idx="151">
                  <c:v>2</c:v>
                </c:pt>
                <c:pt idx="152">
                  <c:v>3</c:v>
                </c:pt>
                <c:pt idx="153">
                  <c:v>4</c:v>
                </c:pt>
                <c:pt idx="154">
                  <c:v>5</c:v>
                </c:pt>
                <c:pt idx="155">
                  <c:v>12</c:v>
                </c:pt>
                <c:pt idx="156">
                  <c:v>12</c:v>
                </c:pt>
                <c:pt idx="157">
                  <c:v>7</c:v>
                </c:pt>
                <c:pt idx="158">
                  <c:v>4</c:v>
                </c:pt>
                <c:pt idx="159">
                  <c:v>2</c:v>
                </c:pt>
                <c:pt idx="160">
                  <c:v>2</c:v>
                </c:pt>
                <c:pt idx="161">
                  <c:v>1</c:v>
                </c:pt>
                <c:pt idx="162">
                  <c:v>2</c:v>
                </c:pt>
                <c:pt idx="163">
                  <c:v>2</c:v>
                </c:pt>
                <c:pt idx="164">
                  <c:v>3</c:v>
                </c:pt>
                <c:pt idx="165">
                  <c:v>4</c:v>
                </c:pt>
                <c:pt idx="166">
                  <c:v>6</c:v>
                </c:pt>
                <c:pt idx="167">
                  <c:v>10</c:v>
                </c:pt>
                <c:pt idx="168">
                  <c:v>13</c:v>
                </c:pt>
                <c:pt idx="169">
                  <c:v>55</c:v>
                </c:pt>
                <c:pt idx="170">
                  <c:v>6</c:v>
                </c:pt>
                <c:pt idx="171">
                  <c:v>2</c:v>
                </c:pt>
                <c:pt idx="172">
                  <c:v>2</c:v>
                </c:pt>
                <c:pt idx="173">
                  <c:v>1</c:v>
                </c:pt>
                <c:pt idx="174">
                  <c:v>2</c:v>
                </c:pt>
                <c:pt idx="175">
                  <c:v>2</c:v>
                </c:pt>
                <c:pt idx="176">
                  <c:v>2</c:v>
                </c:pt>
                <c:pt idx="177">
                  <c:v>3</c:v>
                </c:pt>
                <c:pt idx="178">
                  <c:v>6</c:v>
                </c:pt>
                <c:pt idx="179">
                  <c:v>11</c:v>
                </c:pt>
                <c:pt idx="180">
                  <c:v>11</c:v>
                </c:pt>
                <c:pt idx="181">
                  <c:v>8</c:v>
                </c:pt>
                <c:pt idx="182">
                  <c:v>5</c:v>
                </c:pt>
                <c:pt idx="183">
                  <c:v>2</c:v>
                </c:pt>
                <c:pt idx="184">
                  <c:v>1</c:v>
                </c:pt>
                <c:pt idx="185">
                  <c:v>1</c:v>
                </c:pt>
                <c:pt idx="186">
                  <c:v>1</c:v>
                </c:pt>
                <c:pt idx="187">
                  <c:v>2</c:v>
                </c:pt>
                <c:pt idx="188">
                  <c:v>3</c:v>
                </c:pt>
                <c:pt idx="189">
                  <c:v>3</c:v>
                </c:pt>
                <c:pt idx="190">
                  <c:v>5</c:v>
                </c:pt>
                <c:pt idx="191">
                  <c:v>11</c:v>
                </c:pt>
                <c:pt idx="192">
                  <c:v>10</c:v>
                </c:pt>
                <c:pt idx="193">
                  <c:v>7</c:v>
                </c:pt>
                <c:pt idx="194">
                  <c:v>3</c:v>
                </c:pt>
                <c:pt idx="195">
                  <c:v>2</c:v>
                </c:pt>
                <c:pt idx="196">
                  <c:v>1</c:v>
                </c:pt>
                <c:pt idx="197">
                  <c:v>1</c:v>
                </c:pt>
                <c:pt idx="198">
                  <c:v>2</c:v>
                </c:pt>
                <c:pt idx="199">
                  <c:v>2</c:v>
                </c:pt>
                <c:pt idx="200">
                  <c:v>3</c:v>
                </c:pt>
                <c:pt idx="201">
                  <c:v>3</c:v>
                </c:pt>
                <c:pt idx="202">
                  <c:v>5</c:v>
                </c:pt>
                <c:pt idx="203">
                  <c:v>12</c:v>
                </c:pt>
                <c:pt idx="204">
                  <c:v>15</c:v>
                </c:pt>
                <c:pt idx="205">
                  <c:v>12</c:v>
                </c:pt>
                <c:pt idx="206">
                  <c:v>5</c:v>
                </c:pt>
                <c:pt idx="207">
                  <c:v>2</c:v>
                </c:pt>
                <c:pt idx="208">
                  <c:v>2</c:v>
                </c:pt>
                <c:pt idx="209">
                  <c:v>1</c:v>
                </c:pt>
                <c:pt idx="210">
                  <c:v>2</c:v>
                </c:pt>
                <c:pt idx="211">
                  <c:v>2</c:v>
                </c:pt>
                <c:pt idx="212">
                  <c:v>3</c:v>
                </c:pt>
                <c:pt idx="213">
                  <c:v>4</c:v>
                </c:pt>
                <c:pt idx="214">
                  <c:v>6</c:v>
                </c:pt>
                <c:pt idx="215">
                  <c:v>11</c:v>
                </c:pt>
                <c:pt idx="216">
                  <c:v>14</c:v>
                </c:pt>
                <c:pt idx="217">
                  <c:v>29</c:v>
                </c:pt>
                <c:pt idx="218">
                  <c:v>4</c:v>
                </c:pt>
              </c:numCache>
            </c:numRef>
          </c:val>
          <c:smooth val="0"/>
          <c:extLst>
            <c:ext xmlns:c16="http://schemas.microsoft.com/office/drawing/2014/chart" uri="{C3380CC4-5D6E-409C-BE32-E72D297353CC}">
              <c16:uniqueId val="{00000001-69DD-4359-B57F-A13F26F4BCD0}"/>
            </c:ext>
          </c:extLst>
        </c:ser>
        <c:dLbls>
          <c:showLegendKey val="0"/>
          <c:showVal val="0"/>
          <c:showCatName val="0"/>
          <c:showSerName val="0"/>
          <c:showPercent val="0"/>
          <c:showBubbleSize val="0"/>
        </c:dLbls>
        <c:smooth val="0"/>
        <c:axId val="1717588544"/>
        <c:axId val="628279952"/>
      </c:lineChart>
      <c:dateAx>
        <c:axId val="1717588544"/>
        <c:scaling>
          <c:orientation val="minMax"/>
        </c:scaling>
        <c:delete val="0"/>
        <c:axPos val="b"/>
        <c:numFmt formatCode="m/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279952"/>
        <c:crosses val="autoZero"/>
        <c:auto val="1"/>
        <c:lblOffset val="100"/>
        <c:baseTimeUnit val="months"/>
      </c:dateAx>
      <c:valAx>
        <c:axId val="628279952"/>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5885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0" i="0" u="none" strike="noStrike" kern="1200" spc="0" baseline="0">
                <a:solidFill>
                  <a:sysClr val="windowText" lastClr="000000">
                    <a:lumMod val="65000"/>
                    <a:lumOff val="35000"/>
                  </a:sysClr>
                </a:solidFill>
              </a:rPr>
              <a:t>Average Interest Level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'Explore the Five Sports'!$B$1</c:f>
              <c:strCache>
                <c:ptCount val="1"/>
                <c:pt idx="0">
                  <c:v>AVG INTEREST LEVEL</c:v>
                </c:pt>
              </c:strCache>
            </c:strRef>
          </c:tx>
          <c:spPr>
            <a:solidFill>
              <a:schemeClr val="accent1"/>
            </a:solidFill>
            <a:ln>
              <a:noFill/>
            </a:ln>
            <a:effectLst/>
          </c:spPr>
          <c:invertIfNegative val="0"/>
          <c:cat>
            <c:strRef>
              <c:f>'Explore the Five Sports'!$A$2:$A$6</c:f>
              <c:strCache>
                <c:ptCount val="5"/>
                <c:pt idx="0">
                  <c:v>Bobsleigh</c:v>
                </c:pt>
                <c:pt idx="1">
                  <c:v>Speed Skating</c:v>
                </c:pt>
                <c:pt idx="2">
                  <c:v>Alpine Skiing</c:v>
                </c:pt>
                <c:pt idx="3">
                  <c:v>Biathlon</c:v>
                </c:pt>
                <c:pt idx="4">
                  <c:v>Nordic combined</c:v>
                </c:pt>
              </c:strCache>
            </c:strRef>
          </c:cat>
          <c:val>
            <c:numRef>
              <c:f>'Explore the Five Sports'!$B$2:$B$6</c:f>
              <c:numCache>
                <c:formatCode>0.00</c:formatCode>
                <c:ptCount val="5"/>
                <c:pt idx="0">
                  <c:v>1.3835616438356164</c:v>
                </c:pt>
                <c:pt idx="1">
                  <c:v>1.1301369863013699</c:v>
                </c:pt>
                <c:pt idx="2">
                  <c:v>1.0525114155251141</c:v>
                </c:pt>
                <c:pt idx="3">
                  <c:v>0.65981735159817356</c:v>
                </c:pt>
                <c:pt idx="4">
                  <c:v>0.42465753424657532</c:v>
                </c:pt>
              </c:numCache>
            </c:numRef>
          </c:val>
          <c:extLst>
            <c:ext xmlns:c16="http://schemas.microsoft.com/office/drawing/2014/chart" uri="{C3380CC4-5D6E-409C-BE32-E72D297353CC}">
              <c16:uniqueId val="{00000000-44DD-4502-BBC1-A53E95B76CA7}"/>
            </c:ext>
          </c:extLst>
        </c:ser>
        <c:dLbls>
          <c:showLegendKey val="0"/>
          <c:showVal val="0"/>
          <c:showCatName val="0"/>
          <c:showSerName val="0"/>
          <c:showPercent val="0"/>
          <c:showBubbleSize val="0"/>
        </c:dLbls>
        <c:gapWidth val="90"/>
        <c:overlap val="-27"/>
        <c:axId val="1717659536"/>
        <c:axId val="628325552"/>
      </c:barChart>
      <c:catAx>
        <c:axId val="1717659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628325552"/>
        <c:crosses val="autoZero"/>
        <c:auto val="1"/>
        <c:lblAlgn val="ctr"/>
        <c:lblOffset val="100"/>
        <c:noMultiLvlLbl val="0"/>
      </c:catAx>
      <c:valAx>
        <c:axId val="6283255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717659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Interest Levels for Different Sports During February of the Olympic Years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'LevelUp Data!'!$A$2</c:f>
              <c:strCache>
                <c:ptCount val="1"/>
                <c:pt idx="0">
                  <c:v>2/1/2006</c:v>
                </c:pt>
              </c:strCache>
            </c:strRef>
          </c:tx>
          <c:spPr>
            <a:solidFill>
              <a:schemeClr val="accent1"/>
            </a:solidFill>
            <a:ln>
              <a:noFill/>
            </a:ln>
            <a:effectLst/>
          </c:spPr>
          <c:invertIfNegative val="0"/>
          <c:cat>
            <c:strRef>
              <c:f>'LevelUp Data!'!$B$1:$F$1</c:f>
              <c:strCache>
                <c:ptCount val="5"/>
                <c:pt idx="0">
                  <c:v>Speed Skating</c:v>
                </c:pt>
                <c:pt idx="1">
                  <c:v>Nordic combined</c:v>
                </c:pt>
                <c:pt idx="2">
                  <c:v>Biathlon</c:v>
                </c:pt>
                <c:pt idx="3">
                  <c:v>Alpine skiing</c:v>
                </c:pt>
                <c:pt idx="4">
                  <c:v>Bobsleigh</c:v>
                </c:pt>
              </c:strCache>
            </c:strRef>
          </c:cat>
          <c:val>
            <c:numRef>
              <c:f>'LevelUp Data!'!$B$2:$F$2</c:f>
              <c:numCache>
                <c:formatCode>General</c:formatCode>
                <c:ptCount val="5"/>
                <c:pt idx="0">
                  <c:v>16</c:v>
                </c:pt>
                <c:pt idx="1">
                  <c:v>1</c:v>
                </c:pt>
                <c:pt idx="2">
                  <c:v>4</c:v>
                </c:pt>
                <c:pt idx="3">
                  <c:v>6</c:v>
                </c:pt>
                <c:pt idx="4">
                  <c:v>12</c:v>
                </c:pt>
              </c:numCache>
            </c:numRef>
          </c:val>
          <c:extLst>
            <c:ext xmlns:c16="http://schemas.microsoft.com/office/drawing/2014/chart" uri="{C3380CC4-5D6E-409C-BE32-E72D297353CC}">
              <c16:uniqueId val="{00000000-5571-4E5E-A163-5EA446C976DD}"/>
            </c:ext>
          </c:extLst>
        </c:ser>
        <c:ser>
          <c:idx val="1"/>
          <c:order val="1"/>
          <c:tx>
            <c:strRef>
              <c:f>'LevelUp Data!'!$A$3</c:f>
              <c:strCache>
                <c:ptCount val="1"/>
                <c:pt idx="0">
                  <c:v>2/1/2010</c:v>
                </c:pt>
              </c:strCache>
            </c:strRef>
          </c:tx>
          <c:spPr>
            <a:solidFill>
              <a:schemeClr val="accent2"/>
            </a:solidFill>
            <a:ln>
              <a:noFill/>
            </a:ln>
            <a:effectLst/>
          </c:spPr>
          <c:invertIfNegative val="0"/>
          <c:cat>
            <c:strRef>
              <c:f>'LevelUp Data!'!$B$1:$F$1</c:f>
              <c:strCache>
                <c:ptCount val="5"/>
                <c:pt idx="0">
                  <c:v>Speed Skating</c:v>
                </c:pt>
                <c:pt idx="1">
                  <c:v>Nordic combined</c:v>
                </c:pt>
                <c:pt idx="2">
                  <c:v>Biathlon</c:v>
                </c:pt>
                <c:pt idx="3">
                  <c:v>Alpine skiing</c:v>
                </c:pt>
                <c:pt idx="4">
                  <c:v>Bobsleigh</c:v>
                </c:pt>
              </c:strCache>
            </c:strRef>
          </c:cat>
          <c:val>
            <c:numRef>
              <c:f>'LevelUp Data!'!$B$3:$F$3</c:f>
              <c:numCache>
                <c:formatCode>General</c:formatCode>
                <c:ptCount val="5"/>
                <c:pt idx="0">
                  <c:v>19</c:v>
                </c:pt>
                <c:pt idx="1">
                  <c:v>3</c:v>
                </c:pt>
                <c:pt idx="2">
                  <c:v>6</c:v>
                </c:pt>
                <c:pt idx="3">
                  <c:v>10</c:v>
                </c:pt>
                <c:pt idx="4">
                  <c:v>19</c:v>
                </c:pt>
              </c:numCache>
            </c:numRef>
          </c:val>
          <c:extLst>
            <c:ext xmlns:c16="http://schemas.microsoft.com/office/drawing/2014/chart" uri="{C3380CC4-5D6E-409C-BE32-E72D297353CC}">
              <c16:uniqueId val="{00000001-5571-4E5E-A163-5EA446C976DD}"/>
            </c:ext>
          </c:extLst>
        </c:ser>
        <c:ser>
          <c:idx val="2"/>
          <c:order val="2"/>
          <c:tx>
            <c:strRef>
              <c:f>'LevelUp Data!'!$A$4</c:f>
              <c:strCache>
                <c:ptCount val="1"/>
                <c:pt idx="0">
                  <c:v>2/1/2014</c:v>
                </c:pt>
              </c:strCache>
            </c:strRef>
          </c:tx>
          <c:spPr>
            <a:solidFill>
              <a:schemeClr val="accent3"/>
            </a:solidFill>
            <a:ln>
              <a:noFill/>
            </a:ln>
            <a:effectLst/>
          </c:spPr>
          <c:invertIfNegative val="0"/>
          <c:cat>
            <c:strRef>
              <c:f>'LevelUp Data!'!$B$1:$F$1</c:f>
              <c:strCache>
                <c:ptCount val="5"/>
                <c:pt idx="0">
                  <c:v>Speed Skating</c:v>
                </c:pt>
                <c:pt idx="1">
                  <c:v>Nordic combined</c:v>
                </c:pt>
                <c:pt idx="2">
                  <c:v>Biathlon</c:v>
                </c:pt>
                <c:pt idx="3">
                  <c:v>Alpine skiing</c:v>
                </c:pt>
                <c:pt idx="4">
                  <c:v>Bobsleigh</c:v>
                </c:pt>
              </c:strCache>
            </c:strRef>
          </c:cat>
          <c:val>
            <c:numRef>
              <c:f>'LevelUp Data!'!$B$4:$F$4</c:f>
              <c:numCache>
                <c:formatCode>General</c:formatCode>
                <c:ptCount val="5"/>
                <c:pt idx="0">
                  <c:v>17</c:v>
                </c:pt>
                <c:pt idx="1">
                  <c:v>2</c:v>
                </c:pt>
                <c:pt idx="2">
                  <c:v>7</c:v>
                </c:pt>
                <c:pt idx="3">
                  <c:v>8</c:v>
                </c:pt>
                <c:pt idx="4">
                  <c:v>41</c:v>
                </c:pt>
              </c:numCache>
            </c:numRef>
          </c:val>
          <c:extLst>
            <c:ext xmlns:c16="http://schemas.microsoft.com/office/drawing/2014/chart" uri="{C3380CC4-5D6E-409C-BE32-E72D297353CC}">
              <c16:uniqueId val="{00000002-5571-4E5E-A163-5EA446C976DD}"/>
            </c:ext>
          </c:extLst>
        </c:ser>
        <c:ser>
          <c:idx val="3"/>
          <c:order val="3"/>
          <c:tx>
            <c:strRef>
              <c:f>'LevelUp Data!'!$A$5</c:f>
              <c:strCache>
                <c:ptCount val="1"/>
                <c:pt idx="0">
                  <c:v>2/1/2018</c:v>
                </c:pt>
              </c:strCache>
            </c:strRef>
          </c:tx>
          <c:spPr>
            <a:solidFill>
              <a:schemeClr val="accent4"/>
            </a:solidFill>
            <a:ln>
              <a:noFill/>
            </a:ln>
            <a:effectLst/>
          </c:spPr>
          <c:invertIfNegative val="0"/>
          <c:cat>
            <c:strRef>
              <c:f>'LevelUp Data!'!$B$1:$F$1</c:f>
              <c:strCache>
                <c:ptCount val="5"/>
                <c:pt idx="0">
                  <c:v>Speed Skating</c:v>
                </c:pt>
                <c:pt idx="1">
                  <c:v>Nordic combined</c:v>
                </c:pt>
                <c:pt idx="2">
                  <c:v>Biathlon</c:v>
                </c:pt>
                <c:pt idx="3">
                  <c:v>Alpine skiing</c:v>
                </c:pt>
                <c:pt idx="4">
                  <c:v>Bobsleigh</c:v>
                </c:pt>
              </c:strCache>
            </c:strRef>
          </c:cat>
          <c:val>
            <c:numRef>
              <c:f>'LevelUp Data!'!$B$5:$F$5</c:f>
              <c:numCache>
                <c:formatCode>General</c:formatCode>
                <c:ptCount val="5"/>
                <c:pt idx="0">
                  <c:v>16</c:v>
                </c:pt>
                <c:pt idx="1">
                  <c:v>1</c:v>
                </c:pt>
                <c:pt idx="2">
                  <c:v>7</c:v>
                </c:pt>
                <c:pt idx="3">
                  <c:v>17</c:v>
                </c:pt>
                <c:pt idx="4">
                  <c:v>30</c:v>
                </c:pt>
              </c:numCache>
            </c:numRef>
          </c:val>
          <c:extLst>
            <c:ext xmlns:c16="http://schemas.microsoft.com/office/drawing/2014/chart" uri="{C3380CC4-5D6E-409C-BE32-E72D297353CC}">
              <c16:uniqueId val="{00000003-5571-4E5E-A163-5EA446C976DD}"/>
            </c:ext>
          </c:extLst>
        </c:ser>
        <c:ser>
          <c:idx val="4"/>
          <c:order val="4"/>
          <c:tx>
            <c:strRef>
              <c:f>'LevelUp Data!'!$A$6</c:f>
              <c:strCache>
                <c:ptCount val="1"/>
                <c:pt idx="0">
                  <c:v>2/1/2022</c:v>
                </c:pt>
              </c:strCache>
            </c:strRef>
          </c:tx>
          <c:spPr>
            <a:solidFill>
              <a:schemeClr val="accent5"/>
            </a:solidFill>
            <a:ln>
              <a:noFill/>
            </a:ln>
            <a:effectLst/>
          </c:spPr>
          <c:invertIfNegative val="0"/>
          <c:cat>
            <c:strRef>
              <c:f>'LevelUp Data!'!$B$1:$F$1</c:f>
              <c:strCache>
                <c:ptCount val="5"/>
                <c:pt idx="0">
                  <c:v>Speed Skating</c:v>
                </c:pt>
                <c:pt idx="1">
                  <c:v>Nordic combined</c:v>
                </c:pt>
                <c:pt idx="2">
                  <c:v>Biathlon</c:v>
                </c:pt>
                <c:pt idx="3">
                  <c:v>Alpine skiing</c:v>
                </c:pt>
                <c:pt idx="4">
                  <c:v>Bobsleigh</c:v>
                </c:pt>
              </c:strCache>
            </c:strRef>
          </c:cat>
          <c:val>
            <c:numRef>
              <c:f>'LevelUp Data!'!$B$6:$F$6</c:f>
              <c:numCache>
                <c:formatCode>General</c:formatCode>
                <c:ptCount val="5"/>
                <c:pt idx="0">
                  <c:v>6</c:v>
                </c:pt>
                <c:pt idx="1">
                  <c:v>1</c:v>
                </c:pt>
                <c:pt idx="2">
                  <c:v>4</c:v>
                </c:pt>
                <c:pt idx="3">
                  <c:v>7</c:v>
                </c:pt>
                <c:pt idx="4">
                  <c:v>15</c:v>
                </c:pt>
              </c:numCache>
            </c:numRef>
          </c:val>
          <c:extLst>
            <c:ext xmlns:c16="http://schemas.microsoft.com/office/drawing/2014/chart" uri="{C3380CC4-5D6E-409C-BE32-E72D297353CC}">
              <c16:uniqueId val="{00000004-5571-4E5E-A163-5EA446C976DD}"/>
            </c:ext>
          </c:extLst>
        </c:ser>
        <c:dLbls>
          <c:showLegendKey val="0"/>
          <c:showVal val="0"/>
          <c:showCatName val="0"/>
          <c:showSerName val="0"/>
          <c:showPercent val="0"/>
          <c:showBubbleSize val="0"/>
        </c:dLbls>
        <c:gapWidth val="150"/>
        <c:overlap val="100"/>
        <c:axId val="880143584"/>
        <c:axId val="628300112"/>
      </c:barChart>
      <c:catAx>
        <c:axId val="88014358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300112"/>
        <c:crosses val="autoZero"/>
        <c:auto val="1"/>
        <c:lblAlgn val="ctr"/>
        <c:lblOffset val="100"/>
        <c:noMultiLvlLbl val="0"/>
      </c:catAx>
      <c:valAx>
        <c:axId val="628300112"/>
        <c:scaling>
          <c:orientation val="minMax"/>
          <c:max val="12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1435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64</xdr:rowOff>
    </xdr:from>
    <xdr:to>
      <xdr:col>2</xdr:col>
      <xdr:colOff>1121594</xdr:colOff>
      <xdr:row>23</xdr:row>
      <xdr:rowOff>167907</xdr:rowOff>
    </xdr:to>
    <xdr:graphicFrame macro="">
      <xdr:nvGraphicFramePr>
        <xdr:cNvPr id="7" name="Chart 6">
          <a:extLst>
            <a:ext uri="{FF2B5EF4-FFF2-40B4-BE49-F238E27FC236}">
              <a16:creationId xmlns:a16="http://schemas.microsoft.com/office/drawing/2014/main" id="{91E47884-D7AE-C07E-5C4E-9DFB6A5D48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56</xdr:row>
      <xdr:rowOff>190147</xdr:rowOff>
    </xdr:from>
    <xdr:to>
      <xdr:col>2</xdr:col>
      <xdr:colOff>1123950</xdr:colOff>
      <xdr:row>74</xdr:row>
      <xdr:rowOff>171450</xdr:rowOff>
    </xdr:to>
    <xdr:graphicFrame macro="">
      <xdr:nvGraphicFramePr>
        <xdr:cNvPr id="8" name="Chart 7">
          <a:extLst>
            <a:ext uri="{FF2B5EF4-FFF2-40B4-BE49-F238E27FC236}">
              <a16:creationId xmlns:a16="http://schemas.microsoft.com/office/drawing/2014/main" id="{33ED4C8E-E5EC-4F52-3601-7BAF192384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86</xdr:row>
      <xdr:rowOff>3715</xdr:rowOff>
    </xdr:from>
    <xdr:to>
      <xdr:col>2</xdr:col>
      <xdr:colOff>1120588</xdr:colOff>
      <xdr:row>103</xdr:row>
      <xdr:rowOff>179293</xdr:rowOff>
    </xdr:to>
    <xdr:graphicFrame macro="">
      <xdr:nvGraphicFramePr>
        <xdr:cNvPr id="9" name="Chart 8">
          <a:extLst>
            <a:ext uri="{FF2B5EF4-FFF2-40B4-BE49-F238E27FC236}">
              <a16:creationId xmlns:a16="http://schemas.microsoft.com/office/drawing/2014/main" id="{4D1C89F7-B4DB-2F69-EA98-208F72B61A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118</xdr:row>
      <xdr:rowOff>188258</xdr:rowOff>
    </xdr:from>
    <xdr:to>
      <xdr:col>2</xdr:col>
      <xdr:colOff>1129552</xdr:colOff>
      <xdr:row>136</xdr:row>
      <xdr:rowOff>161363</xdr:rowOff>
    </xdr:to>
    <xdr:graphicFrame macro="">
      <xdr:nvGraphicFramePr>
        <xdr:cNvPr id="10" name="Chart 9">
          <a:extLst>
            <a:ext uri="{FF2B5EF4-FFF2-40B4-BE49-F238E27FC236}">
              <a16:creationId xmlns:a16="http://schemas.microsoft.com/office/drawing/2014/main" id="{45F0171D-0534-4E0E-AEA7-28DDCFFDAD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145</xdr:row>
      <xdr:rowOff>172879</xdr:rowOff>
    </xdr:from>
    <xdr:to>
      <xdr:col>2</xdr:col>
      <xdr:colOff>1125415</xdr:colOff>
      <xdr:row>163</xdr:row>
      <xdr:rowOff>175397</xdr:rowOff>
    </xdr:to>
    <xdr:graphicFrame macro="">
      <xdr:nvGraphicFramePr>
        <xdr:cNvPr id="11" name="Chart 10">
          <a:extLst>
            <a:ext uri="{FF2B5EF4-FFF2-40B4-BE49-F238E27FC236}">
              <a16:creationId xmlns:a16="http://schemas.microsoft.com/office/drawing/2014/main" id="{053670CA-98BA-441C-A2A1-16CE2A109D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Ananya%20Garg%20UW\Third%20year\Summer%202026\GCA\Milestone-Winter-Sports-Interest-Analysis%20--%20Ananya%20Garg.xlsx" TargetMode="External"/><Relationship Id="rId1" Type="http://schemas.openxmlformats.org/officeDocument/2006/relationships/externalLinkPath" Target="Milestone-Winter-Sports-Interest-Analysis%20--%20Ananya%20Gar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Winter Sports Analysis"/>
      <sheetName val="Data Dictionary"/>
      <sheetName val="LevelUp Data!"/>
      <sheetName val="Explore the Five Sports"/>
      <sheetName val="Solutions"/>
    </sheetNames>
    <sheetDataSet>
      <sheetData sheetId="0">
        <row r="1">
          <cell r="G1" t="str">
            <v>Curling</v>
          </cell>
          <cell r="H1" t="str">
            <v>Luge</v>
          </cell>
          <cell r="N1" t="str">
            <v>Hockey</v>
          </cell>
          <cell r="O1" t="str">
            <v>Snowboarding</v>
          </cell>
        </row>
        <row r="2">
          <cell r="F2">
            <v>37987</v>
          </cell>
          <cell r="G2">
            <v>2</v>
          </cell>
          <cell r="H2">
            <v>1</v>
          </cell>
          <cell r="N2">
            <v>23</v>
          </cell>
          <cell r="O2">
            <v>34</v>
          </cell>
        </row>
        <row r="3">
          <cell r="F3">
            <v>38018</v>
          </cell>
          <cell r="G3">
            <v>2</v>
          </cell>
          <cell r="H3">
            <v>1</v>
          </cell>
          <cell r="N3">
            <v>24</v>
          </cell>
          <cell r="O3">
            <v>26</v>
          </cell>
        </row>
        <row r="4">
          <cell r="F4">
            <v>38047</v>
          </cell>
          <cell r="G4">
            <v>3</v>
          </cell>
          <cell r="H4">
            <v>1</v>
          </cell>
          <cell r="N4">
            <v>23</v>
          </cell>
          <cell r="O4">
            <v>15</v>
          </cell>
        </row>
        <row r="5">
          <cell r="F5">
            <v>38078</v>
          </cell>
          <cell r="G5">
            <v>1</v>
          </cell>
          <cell r="H5">
            <v>1</v>
          </cell>
          <cell r="N5">
            <v>16</v>
          </cell>
          <cell r="O5">
            <v>8</v>
          </cell>
        </row>
        <row r="6">
          <cell r="F6">
            <v>38108</v>
          </cell>
          <cell r="G6">
            <v>1</v>
          </cell>
          <cell r="H6">
            <v>0.5</v>
          </cell>
          <cell r="N6">
            <v>15</v>
          </cell>
          <cell r="O6">
            <v>6</v>
          </cell>
        </row>
        <row r="7">
          <cell r="F7">
            <v>38139</v>
          </cell>
          <cell r="G7">
            <v>0.5</v>
          </cell>
          <cell r="H7">
            <v>1</v>
          </cell>
          <cell r="N7">
            <v>12</v>
          </cell>
          <cell r="O7">
            <v>5</v>
          </cell>
        </row>
        <row r="8">
          <cell r="F8">
            <v>38169</v>
          </cell>
          <cell r="G8">
            <v>1</v>
          </cell>
          <cell r="H8">
            <v>0.5</v>
          </cell>
          <cell r="N8">
            <v>11</v>
          </cell>
          <cell r="O8">
            <v>6</v>
          </cell>
        </row>
        <row r="9">
          <cell r="F9">
            <v>38200</v>
          </cell>
          <cell r="G9">
            <v>1</v>
          </cell>
          <cell r="H9">
            <v>1</v>
          </cell>
          <cell r="N9">
            <v>14</v>
          </cell>
          <cell r="O9">
            <v>8</v>
          </cell>
        </row>
        <row r="10">
          <cell r="F10">
            <v>38231</v>
          </cell>
          <cell r="G10">
            <v>1</v>
          </cell>
          <cell r="H10">
            <v>1</v>
          </cell>
          <cell r="N10">
            <v>18</v>
          </cell>
          <cell r="O10">
            <v>11</v>
          </cell>
        </row>
        <row r="11">
          <cell r="F11">
            <v>38261</v>
          </cell>
          <cell r="G11">
            <v>1</v>
          </cell>
          <cell r="H11">
            <v>0.5</v>
          </cell>
          <cell r="N11">
            <v>17</v>
          </cell>
          <cell r="O11">
            <v>18</v>
          </cell>
        </row>
        <row r="12">
          <cell r="F12">
            <v>38292</v>
          </cell>
          <cell r="G12">
            <v>1</v>
          </cell>
          <cell r="H12">
            <v>1</v>
          </cell>
          <cell r="N12">
            <v>20</v>
          </cell>
          <cell r="O12">
            <v>25</v>
          </cell>
        </row>
        <row r="13">
          <cell r="F13">
            <v>38322</v>
          </cell>
          <cell r="G13">
            <v>1</v>
          </cell>
          <cell r="H13">
            <v>1</v>
          </cell>
          <cell r="N13">
            <v>20</v>
          </cell>
          <cell r="O13">
            <v>30</v>
          </cell>
        </row>
        <row r="14">
          <cell r="F14">
            <v>38353</v>
          </cell>
          <cell r="G14">
            <v>2</v>
          </cell>
          <cell r="H14">
            <v>1</v>
          </cell>
          <cell r="N14">
            <v>21</v>
          </cell>
          <cell r="O14">
            <v>29</v>
          </cell>
        </row>
        <row r="15">
          <cell r="F15">
            <v>38384</v>
          </cell>
          <cell r="G15">
            <v>2</v>
          </cell>
          <cell r="H15">
            <v>1</v>
          </cell>
          <cell r="N15">
            <v>22</v>
          </cell>
          <cell r="O15">
            <v>21</v>
          </cell>
        </row>
        <row r="16">
          <cell r="F16">
            <v>38412</v>
          </cell>
          <cell r="G16">
            <v>2</v>
          </cell>
          <cell r="H16">
            <v>1</v>
          </cell>
          <cell r="N16">
            <v>21</v>
          </cell>
          <cell r="O16">
            <v>14</v>
          </cell>
        </row>
        <row r="17">
          <cell r="F17">
            <v>38443</v>
          </cell>
          <cell r="G17">
            <v>2</v>
          </cell>
          <cell r="H17">
            <v>1</v>
          </cell>
          <cell r="N17">
            <v>12</v>
          </cell>
          <cell r="O17">
            <v>7</v>
          </cell>
        </row>
        <row r="18">
          <cell r="F18">
            <v>38473</v>
          </cell>
          <cell r="G18">
            <v>1</v>
          </cell>
          <cell r="H18">
            <v>1</v>
          </cell>
          <cell r="N18">
            <v>11</v>
          </cell>
          <cell r="O18">
            <v>6</v>
          </cell>
        </row>
        <row r="19">
          <cell r="F19">
            <v>38504</v>
          </cell>
          <cell r="G19">
            <v>1</v>
          </cell>
          <cell r="H19">
            <v>1</v>
          </cell>
          <cell r="N19">
            <v>9</v>
          </cell>
          <cell r="O19">
            <v>4</v>
          </cell>
        </row>
        <row r="20">
          <cell r="F20">
            <v>38534</v>
          </cell>
          <cell r="G20">
            <v>1</v>
          </cell>
          <cell r="H20">
            <v>1</v>
          </cell>
          <cell r="N20">
            <v>9</v>
          </cell>
          <cell r="O20">
            <v>6</v>
          </cell>
        </row>
        <row r="21">
          <cell r="F21">
            <v>38565</v>
          </cell>
          <cell r="G21">
            <v>1</v>
          </cell>
          <cell r="H21">
            <v>1</v>
          </cell>
          <cell r="N21">
            <v>12</v>
          </cell>
          <cell r="O21">
            <v>8</v>
          </cell>
        </row>
        <row r="22">
          <cell r="F22">
            <v>38596</v>
          </cell>
          <cell r="G22">
            <v>1</v>
          </cell>
          <cell r="H22">
            <v>1</v>
          </cell>
          <cell r="N22">
            <v>15</v>
          </cell>
          <cell r="O22">
            <v>12</v>
          </cell>
        </row>
        <row r="23">
          <cell r="F23">
            <v>38626</v>
          </cell>
          <cell r="G23">
            <v>1</v>
          </cell>
          <cell r="H23">
            <v>1</v>
          </cell>
          <cell r="N23">
            <v>18</v>
          </cell>
          <cell r="O23">
            <v>17</v>
          </cell>
        </row>
        <row r="24">
          <cell r="F24">
            <v>38657</v>
          </cell>
          <cell r="G24">
            <v>4</v>
          </cell>
          <cell r="H24">
            <v>1</v>
          </cell>
          <cell r="N24">
            <v>23</v>
          </cell>
          <cell r="O24">
            <v>25</v>
          </cell>
        </row>
        <row r="25">
          <cell r="F25">
            <v>38687</v>
          </cell>
          <cell r="G25">
            <v>3</v>
          </cell>
          <cell r="H25">
            <v>1</v>
          </cell>
          <cell r="N25">
            <v>23</v>
          </cell>
          <cell r="O25">
            <v>39</v>
          </cell>
        </row>
        <row r="26">
          <cell r="F26">
            <v>38718</v>
          </cell>
          <cell r="G26">
            <v>3</v>
          </cell>
          <cell r="H26">
            <v>2</v>
          </cell>
          <cell r="N26">
            <v>23</v>
          </cell>
          <cell r="O26">
            <v>30</v>
          </cell>
        </row>
        <row r="27">
          <cell r="F27">
            <v>38749</v>
          </cell>
          <cell r="G27">
            <v>78</v>
          </cell>
          <cell r="H27">
            <v>9</v>
          </cell>
          <cell r="N27">
            <v>26</v>
          </cell>
          <cell r="O27">
            <v>45</v>
          </cell>
        </row>
        <row r="28">
          <cell r="F28">
            <v>38777</v>
          </cell>
          <cell r="G28">
            <v>6</v>
          </cell>
          <cell r="H28">
            <v>2</v>
          </cell>
          <cell r="N28">
            <v>23</v>
          </cell>
          <cell r="O28">
            <v>20</v>
          </cell>
        </row>
        <row r="29">
          <cell r="F29">
            <v>38808</v>
          </cell>
          <cell r="G29">
            <v>3</v>
          </cell>
          <cell r="H29">
            <v>1</v>
          </cell>
          <cell r="N29">
            <v>14</v>
          </cell>
          <cell r="O29">
            <v>7</v>
          </cell>
        </row>
        <row r="30">
          <cell r="F30">
            <v>38838</v>
          </cell>
          <cell r="G30">
            <v>1</v>
          </cell>
          <cell r="H30">
            <v>1</v>
          </cell>
          <cell r="N30">
            <v>13</v>
          </cell>
          <cell r="O30">
            <v>6</v>
          </cell>
        </row>
        <row r="31">
          <cell r="F31">
            <v>38869</v>
          </cell>
          <cell r="G31">
            <v>1</v>
          </cell>
          <cell r="H31">
            <v>1</v>
          </cell>
          <cell r="N31">
            <v>10</v>
          </cell>
          <cell r="O31">
            <v>4</v>
          </cell>
        </row>
        <row r="32">
          <cell r="F32">
            <v>38899</v>
          </cell>
          <cell r="G32">
            <v>1</v>
          </cell>
          <cell r="H32">
            <v>1</v>
          </cell>
          <cell r="N32">
            <v>9</v>
          </cell>
          <cell r="O32">
            <v>5</v>
          </cell>
        </row>
        <row r="33">
          <cell r="F33">
            <v>38930</v>
          </cell>
          <cell r="G33">
            <v>1</v>
          </cell>
          <cell r="H33">
            <v>0.5</v>
          </cell>
          <cell r="N33">
            <v>11</v>
          </cell>
          <cell r="O33">
            <v>8</v>
          </cell>
        </row>
        <row r="34">
          <cell r="F34">
            <v>38961</v>
          </cell>
          <cell r="G34">
            <v>1</v>
          </cell>
          <cell r="H34">
            <v>1</v>
          </cell>
          <cell r="N34">
            <v>15</v>
          </cell>
          <cell r="O34">
            <v>11</v>
          </cell>
        </row>
        <row r="35">
          <cell r="F35">
            <v>38991</v>
          </cell>
          <cell r="G35">
            <v>1</v>
          </cell>
          <cell r="H35">
            <v>1</v>
          </cell>
          <cell r="N35">
            <v>19</v>
          </cell>
          <cell r="O35">
            <v>16</v>
          </cell>
        </row>
        <row r="36">
          <cell r="F36">
            <v>39022</v>
          </cell>
          <cell r="G36">
            <v>2</v>
          </cell>
          <cell r="H36">
            <v>1</v>
          </cell>
          <cell r="N36">
            <v>21</v>
          </cell>
          <cell r="O36">
            <v>22</v>
          </cell>
        </row>
        <row r="37">
          <cell r="F37">
            <v>39052</v>
          </cell>
          <cell r="G37">
            <v>1</v>
          </cell>
          <cell r="H37">
            <v>1</v>
          </cell>
          <cell r="N37">
            <v>24</v>
          </cell>
          <cell r="O37">
            <v>29</v>
          </cell>
        </row>
        <row r="38">
          <cell r="F38">
            <v>39083</v>
          </cell>
          <cell r="G38">
            <v>2</v>
          </cell>
          <cell r="H38">
            <v>1</v>
          </cell>
          <cell r="N38">
            <v>22</v>
          </cell>
          <cell r="O38">
            <v>23</v>
          </cell>
        </row>
        <row r="39">
          <cell r="F39">
            <v>39114</v>
          </cell>
          <cell r="G39">
            <v>2</v>
          </cell>
          <cell r="H39">
            <v>1</v>
          </cell>
          <cell r="N39">
            <v>24</v>
          </cell>
          <cell r="O39">
            <v>21</v>
          </cell>
        </row>
        <row r="40">
          <cell r="F40">
            <v>39142</v>
          </cell>
          <cell r="G40">
            <v>2</v>
          </cell>
          <cell r="H40">
            <v>1</v>
          </cell>
          <cell r="N40">
            <v>22</v>
          </cell>
          <cell r="O40">
            <v>12</v>
          </cell>
        </row>
        <row r="41">
          <cell r="F41">
            <v>39173</v>
          </cell>
          <cell r="G41">
            <v>1</v>
          </cell>
          <cell r="H41">
            <v>0.5</v>
          </cell>
          <cell r="N41">
            <v>15</v>
          </cell>
          <cell r="O41">
            <v>6</v>
          </cell>
        </row>
        <row r="42">
          <cell r="F42">
            <v>39203</v>
          </cell>
          <cell r="G42">
            <v>1</v>
          </cell>
          <cell r="H42">
            <v>1</v>
          </cell>
          <cell r="N42">
            <v>12</v>
          </cell>
          <cell r="O42">
            <v>5</v>
          </cell>
        </row>
        <row r="43">
          <cell r="F43">
            <v>39234</v>
          </cell>
          <cell r="G43">
            <v>1</v>
          </cell>
          <cell r="H43">
            <v>1</v>
          </cell>
          <cell r="N43">
            <v>10</v>
          </cell>
          <cell r="O43">
            <v>4</v>
          </cell>
        </row>
        <row r="44">
          <cell r="F44">
            <v>39264</v>
          </cell>
          <cell r="G44">
            <v>1</v>
          </cell>
          <cell r="H44">
            <v>1</v>
          </cell>
          <cell r="N44">
            <v>9</v>
          </cell>
          <cell r="O44">
            <v>5</v>
          </cell>
        </row>
        <row r="45">
          <cell r="F45">
            <v>39295</v>
          </cell>
          <cell r="G45">
            <v>1</v>
          </cell>
          <cell r="H45">
            <v>1</v>
          </cell>
          <cell r="N45">
            <v>11</v>
          </cell>
          <cell r="O45">
            <v>7</v>
          </cell>
        </row>
        <row r="46">
          <cell r="F46">
            <v>39326</v>
          </cell>
          <cell r="G46">
            <v>1</v>
          </cell>
          <cell r="H46">
            <v>1</v>
          </cell>
          <cell r="N46">
            <v>14</v>
          </cell>
          <cell r="O46">
            <v>10</v>
          </cell>
        </row>
        <row r="47">
          <cell r="F47">
            <v>39356</v>
          </cell>
          <cell r="G47">
            <v>1</v>
          </cell>
          <cell r="H47">
            <v>1</v>
          </cell>
          <cell r="N47">
            <v>18</v>
          </cell>
          <cell r="O47">
            <v>14</v>
          </cell>
        </row>
        <row r="48">
          <cell r="F48">
            <v>39387</v>
          </cell>
          <cell r="G48">
            <v>1</v>
          </cell>
          <cell r="H48">
            <v>1</v>
          </cell>
          <cell r="N48">
            <v>21</v>
          </cell>
          <cell r="O48">
            <v>19</v>
          </cell>
        </row>
        <row r="49">
          <cell r="F49">
            <v>39417</v>
          </cell>
          <cell r="G49">
            <v>2</v>
          </cell>
          <cell r="H49">
            <v>1</v>
          </cell>
          <cell r="N49">
            <v>22</v>
          </cell>
          <cell r="O49">
            <v>28</v>
          </cell>
        </row>
        <row r="50">
          <cell r="F50">
            <v>39448</v>
          </cell>
          <cell r="G50">
            <v>2</v>
          </cell>
          <cell r="H50">
            <v>1</v>
          </cell>
          <cell r="N50">
            <v>22</v>
          </cell>
          <cell r="O50">
            <v>23</v>
          </cell>
        </row>
        <row r="51">
          <cell r="F51">
            <v>39479</v>
          </cell>
          <cell r="G51">
            <v>2</v>
          </cell>
          <cell r="H51">
            <v>1</v>
          </cell>
          <cell r="N51">
            <v>23</v>
          </cell>
          <cell r="O51">
            <v>18</v>
          </cell>
        </row>
        <row r="52">
          <cell r="F52">
            <v>39508</v>
          </cell>
          <cell r="G52">
            <v>2</v>
          </cell>
          <cell r="H52">
            <v>0.5</v>
          </cell>
          <cell r="N52">
            <v>21</v>
          </cell>
          <cell r="O52">
            <v>11</v>
          </cell>
        </row>
        <row r="53">
          <cell r="F53">
            <v>39539</v>
          </cell>
          <cell r="G53">
            <v>1</v>
          </cell>
          <cell r="H53">
            <v>1</v>
          </cell>
          <cell r="N53">
            <v>15</v>
          </cell>
          <cell r="O53">
            <v>5</v>
          </cell>
        </row>
        <row r="54">
          <cell r="F54">
            <v>39569</v>
          </cell>
          <cell r="G54">
            <v>1</v>
          </cell>
          <cell r="H54">
            <v>0.5</v>
          </cell>
          <cell r="N54">
            <v>12</v>
          </cell>
          <cell r="O54">
            <v>4</v>
          </cell>
        </row>
        <row r="55">
          <cell r="F55">
            <v>39600</v>
          </cell>
          <cell r="G55">
            <v>1</v>
          </cell>
          <cell r="H55">
            <v>1</v>
          </cell>
          <cell r="N55">
            <v>10</v>
          </cell>
          <cell r="O55">
            <v>4</v>
          </cell>
        </row>
        <row r="56">
          <cell r="F56">
            <v>39630</v>
          </cell>
          <cell r="G56">
            <v>1</v>
          </cell>
          <cell r="H56">
            <v>0.5</v>
          </cell>
          <cell r="N56">
            <v>9</v>
          </cell>
          <cell r="O56">
            <v>4</v>
          </cell>
        </row>
        <row r="57">
          <cell r="F57">
            <v>39661</v>
          </cell>
          <cell r="G57">
            <v>1</v>
          </cell>
          <cell r="H57">
            <v>1</v>
          </cell>
          <cell r="N57">
            <v>11</v>
          </cell>
          <cell r="O57">
            <v>6</v>
          </cell>
        </row>
        <row r="58">
          <cell r="F58">
            <v>39692</v>
          </cell>
          <cell r="G58">
            <v>1</v>
          </cell>
          <cell r="H58">
            <v>0.5</v>
          </cell>
          <cell r="N58">
            <v>14</v>
          </cell>
          <cell r="O58">
            <v>9</v>
          </cell>
        </row>
        <row r="59">
          <cell r="F59">
            <v>39722</v>
          </cell>
          <cell r="G59">
            <v>1</v>
          </cell>
          <cell r="H59">
            <v>1</v>
          </cell>
          <cell r="N59">
            <v>17</v>
          </cell>
          <cell r="O59">
            <v>13</v>
          </cell>
        </row>
        <row r="60">
          <cell r="F60">
            <v>39753</v>
          </cell>
          <cell r="G60">
            <v>1</v>
          </cell>
          <cell r="H60">
            <v>0.5</v>
          </cell>
          <cell r="N60">
            <v>20</v>
          </cell>
          <cell r="O60">
            <v>20</v>
          </cell>
        </row>
        <row r="61">
          <cell r="F61">
            <v>39783</v>
          </cell>
          <cell r="G61">
            <v>1</v>
          </cell>
          <cell r="H61">
            <v>1</v>
          </cell>
          <cell r="N61">
            <v>19</v>
          </cell>
          <cell r="O61">
            <v>28</v>
          </cell>
        </row>
        <row r="62">
          <cell r="F62">
            <v>39814</v>
          </cell>
          <cell r="G62">
            <v>1</v>
          </cell>
          <cell r="H62">
            <v>0.5</v>
          </cell>
          <cell r="N62">
            <v>20</v>
          </cell>
          <cell r="O62">
            <v>23</v>
          </cell>
        </row>
        <row r="63">
          <cell r="F63">
            <v>39845</v>
          </cell>
          <cell r="G63">
            <v>3</v>
          </cell>
          <cell r="H63">
            <v>1</v>
          </cell>
          <cell r="N63">
            <v>20</v>
          </cell>
          <cell r="O63">
            <v>18</v>
          </cell>
        </row>
        <row r="64">
          <cell r="F64">
            <v>39873</v>
          </cell>
          <cell r="G64">
            <v>2</v>
          </cell>
          <cell r="H64">
            <v>0.5</v>
          </cell>
          <cell r="N64">
            <v>20</v>
          </cell>
          <cell r="O64">
            <v>11</v>
          </cell>
        </row>
        <row r="65">
          <cell r="F65">
            <v>39904</v>
          </cell>
          <cell r="G65">
            <v>2</v>
          </cell>
          <cell r="H65">
            <v>0.5</v>
          </cell>
          <cell r="N65">
            <v>13</v>
          </cell>
          <cell r="O65">
            <v>5</v>
          </cell>
        </row>
        <row r="66">
          <cell r="F66">
            <v>39934</v>
          </cell>
          <cell r="G66">
            <v>0.5</v>
          </cell>
          <cell r="H66">
            <v>0.5</v>
          </cell>
          <cell r="N66">
            <v>13</v>
          </cell>
          <cell r="O66">
            <v>4</v>
          </cell>
        </row>
        <row r="67">
          <cell r="F67">
            <v>39965</v>
          </cell>
          <cell r="G67">
            <v>0.5</v>
          </cell>
          <cell r="H67">
            <v>0.5</v>
          </cell>
          <cell r="N67">
            <v>10</v>
          </cell>
          <cell r="O67">
            <v>4</v>
          </cell>
        </row>
        <row r="68">
          <cell r="F68">
            <v>39995</v>
          </cell>
          <cell r="G68">
            <v>1</v>
          </cell>
          <cell r="H68">
            <v>0.5</v>
          </cell>
          <cell r="N68">
            <v>9</v>
          </cell>
          <cell r="O68">
            <v>4</v>
          </cell>
        </row>
        <row r="69">
          <cell r="F69">
            <v>40026</v>
          </cell>
          <cell r="G69">
            <v>1</v>
          </cell>
          <cell r="H69">
            <v>1</v>
          </cell>
          <cell r="N69">
            <v>10</v>
          </cell>
          <cell r="O69">
            <v>6</v>
          </cell>
        </row>
        <row r="70">
          <cell r="F70">
            <v>40057</v>
          </cell>
          <cell r="G70">
            <v>1</v>
          </cell>
          <cell r="H70">
            <v>0.5</v>
          </cell>
          <cell r="N70">
            <v>13</v>
          </cell>
          <cell r="O70">
            <v>8</v>
          </cell>
        </row>
        <row r="71">
          <cell r="F71">
            <v>40087</v>
          </cell>
          <cell r="G71">
            <v>1</v>
          </cell>
          <cell r="H71">
            <v>1</v>
          </cell>
          <cell r="N71">
            <v>17</v>
          </cell>
          <cell r="O71">
            <v>12</v>
          </cell>
        </row>
        <row r="72">
          <cell r="F72">
            <v>40118</v>
          </cell>
          <cell r="G72">
            <v>1</v>
          </cell>
          <cell r="H72">
            <v>1</v>
          </cell>
          <cell r="N72">
            <v>18</v>
          </cell>
          <cell r="O72">
            <v>15</v>
          </cell>
        </row>
        <row r="73">
          <cell r="F73">
            <v>40148</v>
          </cell>
          <cell r="G73">
            <v>2</v>
          </cell>
          <cell r="H73">
            <v>1</v>
          </cell>
          <cell r="N73">
            <v>19</v>
          </cell>
          <cell r="O73">
            <v>23</v>
          </cell>
        </row>
        <row r="74">
          <cell r="F74">
            <v>40179</v>
          </cell>
          <cell r="G74">
            <v>3</v>
          </cell>
          <cell r="H74">
            <v>1</v>
          </cell>
          <cell r="N74">
            <v>20</v>
          </cell>
          <cell r="O74">
            <v>25</v>
          </cell>
        </row>
        <row r="75">
          <cell r="F75">
            <v>40210</v>
          </cell>
          <cell r="G75">
            <v>86</v>
          </cell>
          <cell r="H75">
            <v>100</v>
          </cell>
          <cell r="N75">
            <v>23</v>
          </cell>
          <cell r="O75">
            <v>54</v>
          </cell>
        </row>
        <row r="76">
          <cell r="F76">
            <v>40238</v>
          </cell>
          <cell r="G76">
            <v>8</v>
          </cell>
          <cell r="H76">
            <v>3</v>
          </cell>
          <cell r="N76">
            <v>20</v>
          </cell>
          <cell r="O76">
            <v>13</v>
          </cell>
        </row>
        <row r="77">
          <cell r="F77">
            <v>40269</v>
          </cell>
          <cell r="G77">
            <v>2</v>
          </cell>
          <cell r="H77">
            <v>1</v>
          </cell>
          <cell r="N77">
            <v>13</v>
          </cell>
          <cell r="O77">
            <v>5</v>
          </cell>
        </row>
        <row r="78">
          <cell r="F78">
            <v>40299</v>
          </cell>
          <cell r="G78">
            <v>1</v>
          </cell>
          <cell r="H78">
            <v>1</v>
          </cell>
          <cell r="N78">
            <v>12</v>
          </cell>
          <cell r="O78">
            <v>5</v>
          </cell>
        </row>
        <row r="79">
          <cell r="F79">
            <v>40330</v>
          </cell>
          <cell r="G79">
            <v>1</v>
          </cell>
          <cell r="H79">
            <v>1</v>
          </cell>
          <cell r="N79">
            <v>10</v>
          </cell>
          <cell r="O79">
            <v>3</v>
          </cell>
        </row>
        <row r="80">
          <cell r="F80">
            <v>40360</v>
          </cell>
          <cell r="G80">
            <v>1</v>
          </cell>
          <cell r="H80">
            <v>0.5</v>
          </cell>
          <cell r="N80">
            <v>8</v>
          </cell>
          <cell r="O80">
            <v>3</v>
          </cell>
        </row>
        <row r="81">
          <cell r="F81">
            <v>40391</v>
          </cell>
          <cell r="G81">
            <v>1</v>
          </cell>
          <cell r="H81">
            <v>1</v>
          </cell>
          <cell r="N81">
            <v>9</v>
          </cell>
          <cell r="O81">
            <v>4</v>
          </cell>
        </row>
        <row r="82">
          <cell r="F82">
            <v>40422</v>
          </cell>
          <cell r="G82">
            <v>1</v>
          </cell>
          <cell r="H82">
            <v>0.5</v>
          </cell>
          <cell r="N82">
            <v>12</v>
          </cell>
          <cell r="O82">
            <v>6</v>
          </cell>
        </row>
        <row r="83">
          <cell r="F83">
            <v>40452</v>
          </cell>
          <cell r="G83">
            <v>1</v>
          </cell>
          <cell r="H83">
            <v>1</v>
          </cell>
          <cell r="N83">
            <v>15</v>
          </cell>
          <cell r="O83">
            <v>8</v>
          </cell>
        </row>
        <row r="84">
          <cell r="F84">
            <v>40483</v>
          </cell>
          <cell r="G84">
            <v>1</v>
          </cell>
          <cell r="H84">
            <v>0.5</v>
          </cell>
          <cell r="N84">
            <v>16</v>
          </cell>
          <cell r="O84">
            <v>13</v>
          </cell>
        </row>
        <row r="85">
          <cell r="F85">
            <v>40513</v>
          </cell>
          <cell r="G85">
            <v>1</v>
          </cell>
          <cell r="H85">
            <v>1</v>
          </cell>
          <cell r="N85">
            <v>17</v>
          </cell>
          <cell r="O85">
            <v>21</v>
          </cell>
        </row>
        <row r="86">
          <cell r="F86">
            <v>40544</v>
          </cell>
          <cell r="G86">
            <v>1</v>
          </cell>
          <cell r="H86">
            <v>1</v>
          </cell>
          <cell r="N86">
            <v>23</v>
          </cell>
          <cell r="O86">
            <v>21</v>
          </cell>
        </row>
        <row r="87">
          <cell r="F87">
            <v>40575</v>
          </cell>
          <cell r="G87">
            <v>2</v>
          </cell>
          <cell r="H87">
            <v>1</v>
          </cell>
          <cell r="N87">
            <v>23</v>
          </cell>
          <cell r="O87">
            <v>12</v>
          </cell>
        </row>
        <row r="88">
          <cell r="F88">
            <v>40603</v>
          </cell>
          <cell r="G88">
            <v>2</v>
          </cell>
          <cell r="H88">
            <v>1</v>
          </cell>
          <cell r="N88">
            <v>22</v>
          </cell>
          <cell r="O88">
            <v>8</v>
          </cell>
        </row>
        <row r="89">
          <cell r="F89">
            <v>40634</v>
          </cell>
          <cell r="G89">
            <v>1</v>
          </cell>
          <cell r="H89">
            <v>0.5</v>
          </cell>
          <cell r="N89">
            <v>11</v>
          </cell>
          <cell r="O89">
            <v>4</v>
          </cell>
        </row>
        <row r="90">
          <cell r="F90">
            <v>40664</v>
          </cell>
          <cell r="G90">
            <v>1</v>
          </cell>
          <cell r="H90">
            <v>0.5</v>
          </cell>
          <cell r="N90">
            <v>10</v>
          </cell>
          <cell r="O90">
            <v>3</v>
          </cell>
        </row>
        <row r="91">
          <cell r="F91">
            <v>40695</v>
          </cell>
          <cell r="G91">
            <v>1</v>
          </cell>
          <cell r="H91">
            <v>0.5</v>
          </cell>
          <cell r="N91">
            <v>9</v>
          </cell>
          <cell r="O91">
            <v>3</v>
          </cell>
        </row>
        <row r="92">
          <cell r="F92">
            <v>40725</v>
          </cell>
          <cell r="G92">
            <v>1</v>
          </cell>
          <cell r="H92">
            <v>1</v>
          </cell>
          <cell r="N92">
            <v>7</v>
          </cell>
          <cell r="O92">
            <v>3</v>
          </cell>
        </row>
        <row r="93">
          <cell r="F93">
            <v>40756</v>
          </cell>
          <cell r="G93">
            <v>1</v>
          </cell>
          <cell r="H93">
            <v>0.5</v>
          </cell>
          <cell r="N93">
            <v>8</v>
          </cell>
          <cell r="O93">
            <v>4</v>
          </cell>
        </row>
        <row r="94">
          <cell r="F94">
            <v>40787</v>
          </cell>
          <cell r="G94">
            <v>1</v>
          </cell>
          <cell r="H94">
            <v>0.5</v>
          </cell>
          <cell r="N94">
            <v>11</v>
          </cell>
          <cell r="O94">
            <v>6</v>
          </cell>
        </row>
        <row r="95">
          <cell r="F95">
            <v>40817</v>
          </cell>
          <cell r="G95">
            <v>1</v>
          </cell>
          <cell r="H95">
            <v>1</v>
          </cell>
          <cell r="N95">
            <v>15</v>
          </cell>
          <cell r="O95">
            <v>8</v>
          </cell>
        </row>
        <row r="96">
          <cell r="F96">
            <v>40848</v>
          </cell>
          <cell r="G96">
            <v>1</v>
          </cell>
          <cell r="H96">
            <v>1</v>
          </cell>
          <cell r="N96">
            <v>19</v>
          </cell>
          <cell r="O96">
            <v>12</v>
          </cell>
        </row>
        <row r="97">
          <cell r="F97">
            <v>40878</v>
          </cell>
          <cell r="G97">
            <v>1</v>
          </cell>
          <cell r="H97">
            <v>1</v>
          </cell>
          <cell r="N97">
            <v>20</v>
          </cell>
          <cell r="O97">
            <v>16</v>
          </cell>
        </row>
        <row r="98">
          <cell r="F98">
            <v>40909</v>
          </cell>
          <cell r="G98">
            <v>1</v>
          </cell>
          <cell r="H98">
            <v>1</v>
          </cell>
          <cell r="N98">
            <v>23</v>
          </cell>
          <cell r="O98">
            <v>17</v>
          </cell>
        </row>
        <row r="99">
          <cell r="F99">
            <v>40940</v>
          </cell>
          <cell r="G99">
            <v>2</v>
          </cell>
          <cell r="H99">
            <v>1</v>
          </cell>
          <cell r="N99">
            <v>22</v>
          </cell>
          <cell r="O99">
            <v>10</v>
          </cell>
        </row>
        <row r="100">
          <cell r="F100">
            <v>40969</v>
          </cell>
          <cell r="G100">
            <v>1</v>
          </cell>
          <cell r="H100">
            <v>1</v>
          </cell>
          <cell r="N100">
            <v>21</v>
          </cell>
          <cell r="O100">
            <v>6</v>
          </cell>
        </row>
        <row r="101">
          <cell r="F101">
            <v>41000</v>
          </cell>
          <cell r="G101">
            <v>1</v>
          </cell>
          <cell r="H101">
            <v>1</v>
          </cell>
          <cell r="N101">
            <v>12</v>
          </cell>
          <cell r="O101">
            <v>3</v>
          </cell>
        </row>
        <row r="102">
          <cell r="F102">
            <v>41030</v>
          </cell>
          <cell r="G102">
            <v>1</v>
          </cell>
          <cell r="H102">
            <v>0.5</v>
          </cell>
          <cell r="N102">
            <v>10</v>
          </cell>
          <cell r="O102">
            <v>3</v>
          </cell>
        </row>
        <row r="103">
          <cell r="F103">
            <v>41061</v>
          </cell>
          <cell r="G103">
            <v>1</v>
          </cell>
          <cell r="H103">
            <v>1</v>
          </cell>
          <cell r="N103">
            <v>8</v>
          </cell>
          <cell r="O103">
            <v>2</v>
          </cell>
        </row>
        <row r="104">
          <cell r="F104">
            <v>41091</v>
          </cell>
          <cell r="G104">
            <v>1</v>
          </cell>
          <cell r="H104">
            <v>1</v>
          </cell>
          <cell r="N104">
            <v>7</v>
          </cell>
          <cell r="O104">
            <v>2</v>
          </cell>
        </row>
        <row r="105">
          <cell r="F105">
            <v>41122</v>
          </cell>
          <cell r="G105">
            <v>1</v>
          </cell>
          <cell r="H105">
            <v>1</v>
          </cell>
          <cell r="N105">
            <v>8</v>
          </cell>
          <cell r="O105">
            <v>3</v>
          </cell>
        </row>
        <row r="106">
          <cell r="F106">
            <v>41153</v>
          </cell>
          <cell r="G106">
            <v>1</v>
          </cell>
          <cell r="H106">
            <v>0.5</v>
          </cell>
          <cell r="N106">
            <v>10</v>
          </cell>
          <cell r="O106">
            <v>4</v>
          </cell>
        </row>
        <row r="107">
          <cell r="F107">
            <v>41183</v>
          </cell>
          <cell r="G107">
            <v>1</v>
          </cell>
          <cell r="H107">
            <v>0.5</v>
          </cell>
          <cell r="N107">
            <v>13</v>
          </cell>
          <cell r="O107">
            <v>6</v>
          </cell>
        </row>
        <row r="108">
          <cell r="F108">
            <v>41214</v>
          </cell>
          <cell r="G108">
            <v>1</v>
          </cell>
          <cell r="H108">
            <v>0.5</v>
          </cell>
          <cell r="N108">
            <v>17</v>
          </cell>
          <cell r="O108">
            <v>8</v>
          </cell>
        </row>
        <row r="109">
          <cell r="F109">
            <v>41244</v>
          </cell>
          <cell r="G109">
            <v>1</v>
          </cell>
          <cell r="H109">
            <v>1</v>
          </cell>
          <cell r="N109">
            <v>18</v>
          </cell>
          <cell r="O109">
            <v>12</v>
          </cell>
        </row>
        <row r="110">
          <cell r="F110">
            <v>41275</v>
          </cell>
          <cell r="G110">
            <v>1</v>
          </cell>
          <cell r="H110">
            <v>1</v>
          </cell>
          <cell r="N110">
            <v>23</v>
          </cell>
          <cell r="O110">
            <v>15</v>
          </cell>
        </row>
        <row r="111">
          <cell r="F111">
            <v>41306</v>
          </cell>
          <cell r="G111">
            <v>2</v>
          </cell>
          <cell r="H111">
            <v>1</v>
          </cell>
          <cell r="N111">
            <v>24</v>
          </cell>
          <cell r="O111">
            <v>9</v>
          </cell>
        </row>
        <row r="112">
          <cell r="F112">
            <v>41334</v>
          </cell>
          <cell r="G112">
            <v>2</v>
          </cell>
          <cell r="H112">
            <v>0.5</v>
          </cell>
          <cell r="N112">
            <v>22</v>
          </cell>
          <cell r="O112">
            <v>5</v>
          </cell>
        </row>
        <row r="113">
          <cell r="F113">
            <v>41365</v>
          </cell>
          <cell r="G113">
            <v>1</v>
          </cell>
          <cell r="H113">
            <v>0.5</v>
          </cell>
          <cell r="N113">
            <v>11</v>
          </cell>
          <cell r="O113">
            <v>3</v>
          </cell>
        </row>
        <row r="114">
          <cell r="F114">
            <v>41395</v>
          </cell>
          <cell r="G114">
            <v>1</v>
          </cell>
          <cell r="H114">
            <v>0.5</v>
          </cell>
          <cell r="N114">
            <v>11</v>
          </cell>
          <cell r="O114">
            <v>2</v>
          </cell>
        </row>
        <row r="115">
          <cell r="F115">
            <v>41426</v>
          </cell>
          <cell r="G115">
            <v>1</v>
          </cell>
          <cell r="H115">
            <v>0.5</v>
          </cell>
          <cell r="N115">
            <v>9</v>
          </cell>
          <cell r="O115">
            <v>2</v>
          </cell>
        </row>
        <row r="116">
          <cell r="F116">
            <v>41456</v>
          </cell>
          <cell r="G116">
            <v>1</v>
          </cell>
          <cell r="H116">
            <v>0.5</v>
          </cell>
          <cell r="N116">
            <v>7</v>
          </cell>
          <cell r="O116">
            <v>2</v>
          </cell>
        </row>
        <row r="117">
          <cell r="F117">
            <v>41487</v>
          </cell>
          <cell r="G117">
            <v>1</v>
          </cell>
          <cell r="H117">
            <v>0.5</v>
          </cell>
          <cell r="N117">
            <v>8</v>
          </cell>
          <cell r="O117">
            <v>3</v>
          </cell>
        </row>
        <row r="118">
          <cell r="F118">
            <v>41518</v>
          </cell>
          <cell r="G118">
            <v>1</v>
          </cell>
          <cell r="H118">
            <v>0.5</v>
          </cell>
          <cell r="N118">
            <v>10</v>
          </cell>
          <cell r="O118">
            <v>4</v>
          </cell>
        </row>
        <row r="119">
          <cell r="F119">
            <v>41548</v>
          </cell>
          <cell r="G119">
            <v>1</v>
          </cell>
          <cell r="H119">
            <v>0.5</v>
          </cell>
          <cell r="N119">
            <v>14</v>
          </cell>
          <cell r="O119">
            <v>5</v>
          </cell>
        </row>
        <row r="120">
          <cell r="F120">
            <v>41579</v>
          </cell>
          <cell r="G120">
            <v>2</v>
          </cell>
          <cell r="H120">
            <v>0.5</v>
          </cell>
          <cell r="N120">
            <v>18</v>
          </cell>
          <cell r="O120">
            <v>8</v>
          </cell>
        </row>
        <row r="121">
          <cell r="F121">
            <v>41609</v>
          </cell>
          <cell r="G121">
            <v>2</v>
          </cell>
          <cell r="H121">
            <v>1</v>
          </cell>
          <cell r="N121">
            <v>19</v>
          </cell>
          <cell r="O121">
            <v>15</v>
          </cell>
        </row>
        <row r="122">
          <cell r="F122">
            <v>41640</v>
          </cell>
          <cell r="G122">
            <v>5</v>
          </cell>
          <cell r="H122">
            <v>1</v>
          </cell>
          <cell r="N122">
            <v>20</v>
          </cell>
          <cell r="O122">
            <v>16</v>
          </cell>
        </row>
        <row r="123">
          <cell r="F123">
            <v>41671</v>
          </cell>
          <cell r="G123">
            <v>54</v>
          </cell>
          <cell r="H123">
            <v>19</v>
          </cell>
          <cell r="N123">
            <v>25</v>
          </cell>
          <cell r="O123">
            <v>40</v>
          </cell>
        </row>
        <row r="124">
          <cell r="F124">
            <v>41699</v>
          </cell>
          <cell r="G124">
            <v>3</v>
          </cell>
          <cell r="H124">
            <v>1</v>
          </cell>
          <cell r="N124">
            <v>21</v>
          </cell>
          <cell r="O124">
            <v>6</v>
          </cell>
        </row>
        <row r="125">
          <cell r="F125">
            <v>41730</v>
          </cell>
          <cell r="G125">
            <v>1</v>
          </cell>
          <cell r="H125">
            <v>0.5</v>
          </cell>
          <cell r="N125">
            <v>11</v>
          </cell>
          <cell r="O125">
            <v>3</v>
          </cell>
        </row>
        <row r="126">
          <cell r="F126">
            <v>41760</v>
          </cell>
          <cell r="G126">
            <v>1</v>
          </cell>
          <cell r="H126">
            <v>0.5</v>
          </cell>
          <cell r="N126">
            <v>9</v>
          </cell>
          <cell r="O126">
            <v>2</v>
          </cell>
        </row>
        <row r="127">
          <cell r="F127">
            <v>41791</v>
          </cell>
          <cell r="G127">
            <v>1</v>
          </cell>
          <cell r="H127">
            <v>0.5</v>
          </cell>
          <cell r="N127">
            <v>8</v>
          </cell>
          <cell r="O127">
            <v>1</v>
          </cell>
        </row>
        <row r="128">
          <cell r="F128">
            <v>41821</v>
          </cell>
          <cell r="G128">
            <v>1</v>
          </cell>
          <cell r="H128">
            <v>0.5</v>
          </cell>
          <cell r="N128">
            <v>6</v>
          </cell>
          <cell r="O128">
            <v>2</v>
          </cell>
        </row>
        <row r="129">
          <cell r="F129">
            <v>41852</v>
          </cell>
          <cell r="G129">
            <v>1</v>
          </cell>
          <cell r="H129">
            <v>0.5</v>
          </cell>
          <cell r="N129">
            <v>7</v>
          </cell>
          <cell r="O129">
            <v>2</v>
          </cell>
        </row>
        <row r="130">
          <cell r="F130">
            <v>41883</v>
          </cell>
          <cell r="G130">
            <v>1</v>
          </cell>
          <cell r="H130">
            <v>0.5</v>
          </cell>
          <cell r="N130">
            <v>9</v>
          </cell>
          <cell r="O130">
            <v>4</v>
          </cell>
        </row>
        <row r="131">
          <cell r="F131">
            <v>41913</v>
          </cell>
          <cell r="G131">
            <v>1</v>
          </cell>
          <cell r="H131">
            <v>0.5</v>
          </cell>
          <cell r="N131">
            <v>14</v>
          </cell>
          <cell r="O131">
            <v>4</v>
          </cell>
        </row>
        <row r="132">
          <cell r="F132">
            <v>41944</v>
          </cell>
          <cell r="G132">
            <v>1</v>
          </cell>
          <cell r="H132">
            <v>0.5</v>
          </cell>
          <cell r="N132">
            <v>18</v>
          </cell>
          <cell r="O132">
            <v>8</v>
          </cell>
        </row>
        <row r="133">
          <cell r="F133">
            <v>41974</v>
          </cell>
          <cell r="G133">
            <v>2</v>
          </cell>
          <cell r="H133">
            <v>1</v>
          </cell>
          <cell r="N133">
            <v>18</v>
          </cell>
          <cell r="O133">
            <v>10</v>
          </cell>
        </row>
        <row r="134">
          <cell r="F134">
            <v>42005</v>
          </cell>
          <cell r="G134">
            <v>2</v>
          </cell>
          <cell r="H134">
            <v>1</v>
          </cell>
          <cell r="N134">
            <v>20</v>
          </cell>
          <cell r="O134">
            <v>11</v>
          </cell>
        </row>
        <row r="135">
          <cell r="F135">
            <v>42036</v>
          </cell>
          <cell r="G135">
            <v>2</v>
          </cell>
          <cell r="H135">
            <v>1</v>
          </cell>
          <cell r="N135">
            <v>20</v>
          </cell>
          <cell r="O135">
            <v>7</v>
          </cell>
        </row>
        <row r="136">
          <cell r="F136">
            <v>42064</v>
          </cell>
          <cell r="G136">
            <v>2</v>
          </cell>
          <cell r="H136">
            <v>0.5</v>
          </cell>
          <cell r="N136">
            <v>19</v>
          </cell>
          <cell r="O136">
            <v>5</v>
          </cell>
        </row>
        <row r="137">
          <cell r="F137">
            <v>42095</v>
          </cell>
          <cell r="G137">
            <v>1</v>
          </cell>
          <cell r="H137">
            <v>0.5</v>
          </cell>
          <cell r="N137">
            <v>11</v>
          </cell>
          <cell r="O137">
            <v>2</v>
          </cell>
        </row>
        <row r="138">
          <cell r="F138">
            <v>42125</v>
          </cell>
          <cell r="G138">
            <v>1</v>
          </cell>
          <cell r="H138">
            <v>0.5</v>
          </cell>
          <cell r="N138">
            <v>10</v>
          </cell>
          <cell r="O138">
            <v>1</v>
          </cell>
        </row>
        <row r="139">
          <cell r="F139">
            <v>42156</v>
          </cell>
          <cell r="G139">
            <v>1</v>
          </cell>
          <cell r="H139">
            <v>0.5</v>
          </cell>
          <cell r="N139">
            <v>8</v>
          </cell>
          <cell r="O139">
            <v>1</v>
          </cell>
        </row>
        <row r="140">
          <cell r="F140">
            <v>42186</v>
          </cell>
          <cell r="G140">
            <v>1</v>
          </cell>
          <cell r="H140">
            <v>0.5</v>
          </cell>
          <cell r="N140">
            <v>6</v>
          </cell>
          <cell r="O140">
            <v>2</v>
          </cell>
        </row>
        <row r="141">
          <cell r="F141">
            <v>42217</v>
          </cell>
          <cell r="G141">
            <v>1</v>
          </cell>
          <cell r="H141">
            <v>0.5</v>
          </cell>
          <cell r="N141">
            <v>7</v>
          </cell>
          <cell r="O141">
            <v>2</v>
          </cell>
        </row>
        <row r="142">
          <cell r="F142">
            <v>42248</v>
          </cell>
          <cell r="G142">
            <v>1</v>
          </cell>
          <cell r="H142">
            <v>0.5</v>
          </cell>
          <cell r="N142">
            <v>9</v>
          </cell>
          <cell r="O142">
            <v>3</v>
          </cell>
        </row>
        <row r="143">
          <cell r="F143">
            <v>42278</v>
          </cell>
          <cell r="G143">
            <v>1</v>
          </cell>
          <cell r="H143">
            <v>0.5</v>
          </cell>
          <cell r="N143">
            <v>14</v>
          </cell>
          <cell r="O143">
            <v>4</v>
          </cell>
        </row>
        <row r="144">
          <cell r="F144">
            <v>42309</v>
          </cell>
          <cell r="G144">
            <v>1</v>
          </cell>
          <cell r="H144">
            <v>0.5</v>
          </cell>
          <cell r="N144">
            <v>17</v>
          </cell>
          <cell r="O144">
            <v>6</v>
          </cell>
        </row>
        <row r="145">
          <cell r="F145">
            <v>42339</v>
          </cell>
          <cell r="G145">
            <v>1</v>
          </cell>
          <cell r="H145">
            <v>1</v>
          </cell>
          <cell r="N145">
            <v>18</v>
          </cell>
          <cell r="O145">
            <v>9</v>
          </cell>
        </row>
        <row r="146">
          <cell r="F146">
            <v>42370</v>
          </cell>
          <cell r="G146">
            <v>2</v>
          </cell>
          <cell r="H146">
            <v>1</v>
          </cell>
          <cell r="N146">
            <v>19</v>
          </cell>
          <cell r="O146">
            <v>13</v>
          </cell>
        </row>
        <row r="147">
          <cell r="F147">
            <v>42401</v>
          </cell>
          <cell r="G147">
            <v>3</v>
          </cell>
          <cell r="H147">
            <v>0.5</v>
          </cell>
          <cell r="N147">
            <v>22</v>
          </cell>
          <cell r="O147">
            <v>7</v>
          </cell>
        </row>
        <row r="148">
          <cell r="F148">
            <v>42430</v>
          </cell>
          <cell r="G148">
            <v>2</v>
          </cell>
          <cell r="H148">
            <v>0.5</v>
          </cell>
          <cell r="N148">
            <v>18</v>
          </cell>
          <cell r="O148">
            <v>4</v>
          </cell>
        </row>
        <row r="149">
          <cell r="F149">
            <v>42461</v>
          </cell>
          <cell r="G149">
            <v>2</v>
          </cell>
          <cell r="H149">
            <v>0.5</v>
          </cell>
          <cell r="N149">
            <v>12</v>
          </cell>
          <cell r="O149">
            <v>2</v>
          </cell>
        </row>
        <row r="150">
          <cell r="F150">
            <v>42491</v>
          </cell>
          <cell r="G150">
            <v>1</v>
          </cell>
          <cell r="H150">
            <v>0.5</v>
          </cell>
          <cell r="N150">
            <v>10</v>
          </cell>
          <cell r="O150">
            <v>2</v>
          </cell>
        </row>
        <row r="151">
          <cell r="F151">
            <v>42522</v>
          </cell>
          <cell r="G151">
            <v>1</v>
          </cell>
          <cell r="H151">
            <v>1</v>
          </cell>
          <cell r="N151">
            <v>7</v>
          </cell>
          <cell r="O151">
            <v>1</v>
          </cell>
        </row>
        <row r="152">
          <cell r="F152">
            <v>42552</v>
          </cell>
          <cell r="G152">
            <v>1</v>
          </cell>
          <cell r="H152">
            <v>1</v>
          </cell>
          <cell r="N152">
            <v>6</v>
          </cell>
          <cell r="O152">
            <v>2</v>
          </cell>
        </row>
        <row r="153">
          <cell r="F153">
            <v>42583</v>
          </cell>
          <cell r="G153">
            <v>2</v>
          </cell>
          <cell r="H153">
            <v>1</v>
          </cell>
          <cell r="N153">
            <v>7</v>
          </cell>
          <cell r="O153">
            <v>2</v>
          </cell>
        </row>
        <row r="154">
          <cell r="F154">
            <v>42614</v>
          </cell>
          <cell r="G154">
            <v>1</v>
          </cell>
          <cell r="H154">
            <v>0.5</v>
          </cell>
          <cell r="N154">
            <v>13</v>
          </cell>
          <cell r="O154">
            <v>3</v>
          </cell>
        </row>
        <row r="155">
          <cell r="F155">
            <v>42644</v>
          </cell>
          <cell r="G155">
            <v>1</v>
          </cell>
          <cell r="H155">
            <v>1</v>
          </cell>
          <cell r="N155">
            <v>13</v>
          </cell>
          <cell r="O155">
            <v>4</v>
          </cell>
        </row>
        <row r="156">
          <cell r="F156">
            <v>42675</v>
          </cell>
          <cell r="G156">
            <v>1</v>
          </cell>
          <cell r="H156">
            <v>0.5</v>
          </cell>
          <cell r="N156">
            <v>15</v>
          </cell>
          <cell r="O156">
            <v>5</v>
          </cell>
        </row>
        <row r="157">
          <cell r="F157">
            <v>42705</v>
          </cell>
          <cell r="G157">
            <v>1</v>
          </cell>
          <cell r="H157">
            <v>1</v>
          </cell>
          <cell r="N157">
            <v>17</v>
          </cell>
          <cell r="O157">
            <v>12</v>
          </cell>
        </row>
        <row r="158">
          <cell r="F158">
            <v>42736</v>
          </cell>
          <cell r="G158">
            <v>2</v>
          </cell>
          <cell r="H158">
            <v>1</v>
          </cell>
          <cell r="N158">
            <v>17</v>
          </cell>
          <cell r="O158">
            <v>12</v>
          </cell>
        </row>
        <row r="159">
          <cell r="F159">
            <v>42767</v>
          </cell>
          <cell r="G159">
            <v>2</v>
          </cell>
          <cell r="H159">
            <v>0.5</v>
          </cell>
          <cell r="N159">
            <v>19</v>
          </cell>
          <cell r="O159">
            <v>7</v>
          </cell>
        </row>
        <row r="160">
          <cell r="F160">
            <v>42795</v>
          </cell>
          <cell r="G160">
            <v>3</v>
          </cell>
          <cell r="H160">
            <v>0.5</v>
          </cell>
          <cell r="N160">
            <v>19</v>
          </cell>
          <cell r="O160">
            <v>4</v>
          </cell>
        </row>
        <row r="161">
          <cell r="F161">
            <v>42826</v>
          </cell>
          <cell r="G161">
            <v>2</v>
          </cell>
          <cell r="H161">
            <v>0.5</v>
          </cell>
          <cell r="N161">
            <v>10</v>
          </cell>
          <cell r="O161">
            <v>2</v>
          </cell>
        </row>
        <row r="162">
          <cell r="F162">
            <v>42856</v>
          </cell>
          <cell r="G162">
            <v>1</v>
          </cell>
          <cell r="H162">
            <v>0.5</v>
          </cell>
          <cell r="N162">
            <v>10</v>
          </cell>
          <cell r="O162">
            <v>2</v>
          </cell>
        </row>
        <row r="163">
          <cell r="F163">
            <v>42887</v>
          </cell>
          <cell r="G163">
            <v>1</v>
          </cell>
          <cell r="H163">
            <v>0.5</v>
          </cell>
          <cell r="N163">
            <v>7</v>
          </cell>
          <cell r="O163">
            <v>1</v>
          </cell>
        </row>
        <row r="164">
          <cell r="F164">
            <v>42917</v>
          </cell>
          <cell r="G164">
            <v>1</v>
          </cell>
          <cell r="H164">
            <v>0.5</v>
          </cell>
          <cell r="N164">
            <v>6</v>
          </cell>
          <cell r="O164">
            <v>2</v>
          </cell>
        </row>
        <row r="165">
          <cell r="F165">
            <v>42948</v>
          </cell>
          <cell r="G165">
            <v>1</v>
          </cell>
          <cell r="H165">
            <v>0.5</v>
          </cell>
          <cell r="N165">
            <v>6</v>
          </cell>
          <cell r="O165">
            <v>2</v>
          </cell>
        </row>
        <row r="166">
          <cell r="F166">
            <v>42979</v>
          </cell>
          <cell r="G166">
            <v>1</v>
          </cell>
          <cell r="H166">
            <v>0.5</v>
          </cell>
          <cell r="N166">
            <v>9</v>
          </cell>
          <cell r="O166">
            <v>3</v>
          </cell>
        </row>
        <row r="167">
          <cell r="F167">
            <v>43009</v>
          </cell>
          <cell r="G167">
            <v>1</v>
          </cell>
          <cell r="H167">
            <v>0.5</v>
          </cell>
          <cell r="N167">
            <v>13</v>
          </cell>
          <cell r="O167">
            <v>4</v>
          </cell>
        </row>
        <row r="168">
          <cell r="F168">
            <v>43040</v>
          </cell>
          <cell r="G168">
            <v>3</v>
          </cell>
          <cell r="H168">
            <v>1</v>
          </cell>
          <cell r="N168">
            <v>16</v>
          </cell>
          <cell r="O168">
            <v>6</v>
          </cell>
        </row>
        <row r="169">
          <cell r="F169">
            <v>43070</v>
          </cell>
          <cell r="G169">
            <v>3</v>
          </cell>
          <cell r="H169">
            <v>1</v>
          </cell>
          <cell r="N169">
            <v>16</v>
          </cell>
          <cell r="O169">
            <v>10</v>
          </cell>
        </row>
        <row r="170">
          <cell r="F170">
            <v>43101</v>
          </cell>
          <cell r="G170">
            <v>3</v>
          </cell>
          <cell r="H170">
            <v>1</v>
          </cell>
          <cell r="N170">
            <v>17</v>
          </cell>
          <cell r="O170">
            <v>13</v>
          </cell>
        </row>
        <row r="171">
          <cell r="F171">
            <v>43132</v>
          </cell>
          <cell r="G171">
            <v>96</v>
          </cell>
          <cell r="H171">
            <v>21</v>
          </cell>
          <cell r="N171">
            <v>21</v>
          </cell>
          <cell r="O171">
            <v>55</v>
          </cell>
        </row>
        <row r="172">
          <cell r="F172">
            <v>43160</v>
          </cell>
          <cell r="G172">
            <v>5</v>
          </cell>
          <cell r="H172">
            <v>1</v>
          </cell>
          <cell r="N172">
            <v>18</v>
          </cell>
          <cell r="O172">
            <v>6</v>
          </cell>
        </row>
        <row r="173">
          <cell r="F173">
            <v>43191</v>
          </cell>
          <cell r="G173">
            <v>2</v>
          </cell>
          <cell r="H173">
            <v>0.5</v>
          </cell>
          <cell r="N173">
            <v>11</v>
          </cell>
          <cell r="O173">
            <v>2</v>
          </cell>
        </row>
        <row r="174">
          <cell r="F174">
            <v>43221</v>
          </cell>
          <cell r="G174">
            <v>1</v>
          </cell>
          <cell r="H174">
            <v>0.5</v>
          </cell>
          <cell r="N174">
            <v>8</v>
          </cell>
          <cell r="O174">
            <v>2</v>
          </cell>
        </row>
        <row r="175">
          <cell r="F175">
            <v>43252</v>
          </cell>
          <cell r="G175">
            <v>1</v>
          </cell>
          <cell r="H175">
            <v>0.5</v>
          </cell>
          <cell r="N175">
            <v>6</v>
          </cell>
          <cell r="O175">
            <v>1</v>
          </cell>
        </row>
        <row r="176">
          <cell r="F176">
            <v>43282</v>
          </cell>
          <cell r="G176">
            <v>1</v>
          </cell>
          <cell r="H176">
            <v>0.5</v>
          </cell>
          <cell r="N176">
            <v>5</v>
          </cell>
          <cell r="O176">
            <v>2</v>
          </cell>
        </row>
        <row r="177">
          <cell r="F177">
            <v>43313</v>
          </cell>
          <cell r="G177">
            <v>1</v>
          </cell>
          <cell r="H177">
            <v>0.5</v>
          </cell>
          <cell r="N177">
            <v>6</v>
          </cell>
          <cell r="O177">
            <v>2</v>
          </cell>
        </row>
        <row r="178">
          <cell r="F178">
            <v>43344</v>
          </cell>
          <cell r="G178">
            <v>1</v>
          </cell>
          <cell r="H178">
            <v>0.5</v>
          </cell>
          <cell r="N178">
            <v>8</v>
          </cell>
          <cell r="O178">
            <v>2</v>
          </cell>
        </row>
        <row r="179">
          <cell r="F179">
            <v>43374</v>
          </cell>
          <cell r="G179">
            <v>1</v>
          </cell>
          <cell r="H179">
            <v>0.5</v>
          </cell>
          <cell r="N179">
            <v>12</v>
          </cell>
          <cell r="O179">
            <v>3</v>
          </cell>
        </row>
        <row r="180">
          <cell r="F180">
            <v>43405</v>
          </cell>
          <cell r="G180">
            <v>2</v>
          </cell>
          <cell r="H180">
            <v>0.5</v>
          </cell>
          <cell r="N180">
            <v>14</v>
          </cell>
          <cell r="O180">
            <v>6</v>
          </cell>
        </row>
        <row r="181">
          <cell r="F181">
            <v>43435</v>
          </cell>
          <cell r="G181">
            <v>2</v>
          </cell>
          <cell r="H181">
            <v>1</v>
          </cell>
          <cell r="N181">
            <v>16</v>
          </cell>
          <cell r="O181">
            <v>11</v>
          </cell>
        </row>
        <row r="182">
          <cell r="F182">
            <v>43466</v>
          </cell>
          <cell r="G182">
            <v>2</v>
          </cell>
          <cell r="H182">
            <v>0.5</v>
          </cell>
          <cell r="N182">
            <v>16</v>
          </cell>
          <cell r="O182">
            <v>11</v>
          </cell>
        </row>
        <row r="183">
          <cell r="F183">
            <v>43497</v>
          </cell>
          <cell r="G183">
            <v>2</v>
          </cell>
          <cell r="H183">
            <v>0.5</v>
          </cell>
          <cell r="N183">
            <v>19</v>
          </cell>
          <cell r="O183">
            <v>8</v>
          </cell>
        </row>
        <row r="184">
          <cell r="F184">
            <v>43525</v>
          </cell>
          <cell r="G184">
            <v>2</v>
          </cell>
          <cell r="H184">
            <v>0.5</v>
          </cell>
          <cell r="N184">
            <v>19</v>
          </cell>
          <cell r="O184">
            <v>5</v>
          </cell>
        </row>
        <row r="185">
          <cell r="F185">
            <v>43556</v>
          </cell>
          <cell r="G185">
            <v>2</v>
          </cell>
          <cell r="H185">
            <v>0.5</v>
          </cell>
          <cell r="N185">
            <v>10</v>
          </cell>
          <cell r="O185">
            <v>2</v>
          </cell>
        </row>
        <row r="186">
          <cell r="F186">
            <v>43586</v>
          </cell>
          <cell r="G186">
            <v>1</v>
          </cell>
          <cell r="H186">
            <v>0.5</v>
          </cell>
          <cell r="N186">
            <v>8</v>
          </cell>
          <cell r="O186">
            <v>1</v>
          </cell>
        </row>
        <row r="187">
          <cell r="F187">
            <v>43617</v>
          </cell>
          <cell r="G187">
            <v>1</v>
          </cell>
          <cell r="H187">
            <v>0.5</v>
          </cell>
          <cell r="N187">
            <v>6</v>
          </cell>
          <cell r="O187">
            <v>1</v>
          </cell>
        </row>
        <row r="188">
          <cell r="F188">
            <v>43647</v>
          </cell>
          <cell r="G188">
            <v>1</v>
          </cell>
          <cell r="H188">
            <v>0.5</v>
          </cell>
          <cell r="N188">
            <v>5</v>
          </cell>
          <cell r="O188">
            <v>1</v>
          </cell>
        </row>
        <row r="189">
          <cell r="F189">
            <v>43678</v>
          </cell>
          <cell r="G189">
            <v>1</v>
          </cell>
          <cell r="H189">
            <v>0.5</v>
          </cell>
          <cell r="N189">
            <v>6</v>
          </cell>
          <cell r="O189">
            <v>2</v>
          </cell>
        </row>
        <row r="190">
          <cell r="F190">
            <v>43709</v>
          </cell>
          <cell r="G190">
            <v>1</v>
          </cell>
          <cell r="H190">
            <v>0.5</v>
          </cell>
          <cell r="N190">
            <v>8</v>
          </cell>
          <cell r="O190">
            <v>3</v>
          </cell>
        </row>
        <row r="191">
          <cell r="F191">
            <v>43739</v>
          </cell>
          <cell r="G191">
            <v>1</v>
          </cell>
          <cell r="H191">
            <v>0.5</v>
          </cell>
          <cell r="N191">
            <v>12</v>
          </cell>
          <cell r="O191">
            <v>3</v>
          </cell>
        </row>
        <row r="192">
          <cell r="F192">
            <v>43770</v>
          </cell>
          <cell r="G192">
            <v>1</v>
          </cell>
          <cell r="H192">
            <v>0.5</v>
          </cell>
          <cell r="N192">
            <v>15</v>
          </cell>
          <cell r="O192">
            <v>5</v>
          </cell>
        </row>
        <row r="193">
          <cell r="F193">
            <v>43800</v>
          </cell>
          <cell r="G193">
            <v>1</v>
          </cell>
          <cell r="H193">
            <v>0.5</v>
          </cell>
          <cell r="N193">
            <v>16</v>
          </cell>
          <cell r="O193">
            <v>11</v>
          </cell>
        </row>
        <row r="194">
          <cell r="F194">
            <v>43831</v>
          </cell>
          <cell r="G194">
            <v>2</v>
          </cell>
          <cell r="H194">
            <v>0.5</v>
          </cell>
          <cell r="N194">
            <v>17</v>
          </cell>
          <cell r="O194">
            <v>10</v>
          </cell>
        </row>
        <row r="195">
          <cell r="F195">
            <v>43862</v>
          </cell>
          <cell r="G195">
            <v>2</v>
          </cell>
          <cell r="H195">
            <v>0.5</v>
          </cell>
          <cell r="N195">
            <v>20</v>
          </cell>
          <cell r="O195">
            <v>7</v>
          </cell>
        </row>
        <row r="196">
          <cell r="F196">
            <v>43891</v>
          </cell>
          <cell r="G196">
            <v>1</v>
          </cell>
          <cell r="H196">
            <v>0.5</v>
          </cell>
          <cell r="N196">
            <v>13</v>
          </cell>
          <cell r="O196">
            <v>3</v>
          </cell>
        </row>
        <row r="197">
          <cell r="F197">
            <v>43922</v>
          </cell>
          <cell r="G197">
            <v>1</v>
          </cell>
          <cell r="H197">
            <v>0.5</v>
          </cell>
          <cell r="N197">
            <v>4</v>
          </cell>
          <cell r="O197">
            <v>2</v>
          </cell>
        </row>
        <row r="198">
          <cell r="F198">
            <v>43952</v>
          </cell>
          <cell r="G198">
            <v>1</v>
          </cell>
          <cell r="H198">
            <v>0.5</v>
          </cell>
          <cell r="N198">
            <v>4</v>
          </cell>
          <cell r="O198">
            <v>1</v>
          </cell>
        </row>
        <row r="199">
          <cell r="F199">
            <v>43983</v>
          </cell>
          <cell r="G199">
            <v>1</v>
          </cell>
          <cell r="H199">
            <v>0.5</v>
          </cell>
          <cell r="N199">
            <v>4</v>
          </cell>
          <cell r="O199">
            <v>1</v>
          </cell>
        </row>
        <row r="200">
          <cell r="F200">
            <v>44013</v>
          </cell>
          <cell r="G200">
            <v>1</v>
          </cell>
          <cell r="H200">
            <v>0.5</v>
          </cell>
          <cell r="N200">
            <v>5</v>
          </cell>
          <cell r="O200">
            <v>2</v>
          </cell>
        </row>
        <row r="201">
          <cell r="F201">
            <v>44044</v>
          </cell>
          <cell r="G201">
            <v>1</v>
          </cell>
          <cell r="H201">
            <v>0.5</v>
          </cell>
          <cell r="N201">
            <v>7</v>
          </cell>
          <cell r="O201">
            <v>2</v>
          </cell>
        </row>
        <row r="202">
          <cell r="F202">
            <v>44075</v>
          </cell>
          <cell r="G202">
            <v>1</v>
          </cell>
          <cell r="H202">
            <v>0.5</v>
          </cell>
          <cell r="N202">
            <v>8</v>
          </cell>
          <cell r="O202">
            <v>3</v>
          </cell>
        </row>
        <row r="203">
          <cell r="F203">
            <v>44105</v>
          </cell>
          <cell r="G203">
            <v>1</v>
          </cell>
          <cell r="H203">
            <v>0.5</v>
          </cell>
          <cell r="N203">
            <v>7</v>
          </cell>
          <cell r="O203">
            <v>3</v>
          </cell>
        </row>
        <row r="204">
          <cell r="F204">
            <v>44136</v>
          </cell>
          <cell r="G204">
            <v>1</v>
          </cell>
          <cell r="H204">
            <v>0.5</v>
          </cell>
          <cell r="N204">
            <v>6</v>
          </cell>
          <cell r="O204">
            <v>5</v>
          </cell>
        </row>
        <row r="205">
          <cell r="F205">
            <v>44166</v>
          </cell>
          <cell r="G205">
            <v>1</v>
          </cell>
          <cell r="H205">
            <v>0.5</v>
          </cell>
          <cell r="N205">
            <v>6</v>
          </cell>
          <cell r="O205">
            <v>12</v>
          </cell>
        </row>
        <row r="206">
          <cell r="F206">
            <v>44197</v>
          </cell>
          <cell r="G206">
            <v>1</v>
          </cell>
          <cell r="H206">
            <v>0.5</v>
          </cell>
          <cell r="N206">
            <v>10</v>
          </cell>
          <cell r="O206">
            <v>15</v>
          </cell>
        </row>
        <row r="207">
          <cell r="F207">
            <v>44228</v>
          </cell>
          <cell r="G207">
            <v>1</v>
          </cell>
          <cell r="H207">
            <v>1</v>
          </cell>
          <cell r="N207">
            <v>12</v>
          </cell>
          <cell r="O207">
            <v>12</v>
          </cell>
        </row>
        <row r="208">
          <cell r="F208">
            <v>44256</v>
          </cell>
          <cell r="G208">
            <v>1</v>
          </cell>
          <cell r="H208">
            <v>0.5</v>
          </cell>
          <cell r="N208">
            <v>13</v>
          </cell>
          <cell r="O208">
            <v>5</v>
          </cell>
        </row>
        <row r="209">
          <cell r="F209">
            <v>44287</v>
          </cell>
          <cell r="G209">
            <v>2</v>
          </cell>
          <cell r="H209">
            <v>0.5</v>
          </cell>
          <cell r="N209">
            <v>9</v>
          </cell>
          <cell r="O209">
            <v>2</v>
          </cell>
        </row>
        <row r="210">
          <cell r="F210">
            <v>44317</v>
          </cell>
          <cell r="G210">
            <v>2</v>
          </cell>
          <cell r="H210">
            <v>0.5</v>
          </cell>
          <cell r="N210">
            <v>6</v>
          </cell>
          <cell r="O210">
            <v>2</v>
          </cell>
        </row>
        <row r="211">
          <cell r="F211">
            <v>44348</v>
          </cell>
          <cell r="G211">
            <v>1</v>
          </cell>
          <cell r="H211">
            <v>0.5</v>
          </cell>
          <cell r="N211">
            <v>6</v>
          </cell>
          <cell r="O211">
            <v>1</v>
          </cell>
        </row>
        <row r="212">
          <cell r="F212">
            <v>44378</v>
          </cell>
          <cell r="G212">
            <v>1</v>
          </cell>
          <cell r="H212">
            <v>0.5</v>
          </cell>
          <cell r="N212">
            <v>5</v>
          </cell>
          <cell r="O212">
            <v>2</v>
          </cell>
        </row>
        <row r="213">
          <cell r="F213">
            <v>44409</v>
          </cell>
          <cell r="G213">
            <v>1</v>
          </cell>
          <cell r="H213">
            <v>0.5</v>
          </cell>
          <cell r="N213">
            <v>5</v>
          </cell>
          <cell r="O213">
            <v>2</v>
          </cell>
        </row>
        <row r="214">
          <cell r="F214">
            <v>44440</v>
          </cell>
          <cell r="G214">
            <v>1</v>
          </cell>
          <cell r="H214">
            <v>0.5</v>
          </cell>
          <cell r="N214">
            <v>6</v>
          </cell>
          <cell r="O214">
            <v>3</v>
          </cell>
        </row>
        <row r="215">
          <cell r="F215">
            <v>44470</v>
          </cell>
          <cell r="G215">
            <v>1</v>
          </cell>
          <cell r="H215">
            <v>0.5</v>
          </cell>
          <cell r="N215">
            <v>9</v>
          </cell>
          <cell r="O215">
            <v>4</v>
          </cell>
        </row>
        <row r="216">
          <cell r="F216">
            <v>44501</v>
          </cell>
          <cell r="G216">
            <v>2</v>
          </cell>
          <cell r="H216">
            <v>0.5</v>
          </cell>
          <cell r="N216">
            <v>13</v>
          </cell>
          <cell r="O216">
            <v>6</v>
          </cell>
        </row>
        <row r="217">
          <cell r="F217">
            <v>44531</v>
          </cell>
          <cell r="G217">
            <v>1</v>
          </cell>
          <cell r="H217">
            <v>0.5</v>
          </cell>
          <cell r="N217">
            <v>13</v>
          </cell>
          <cell r="O217">
            <v>11</v>
          </cell>
        </row>
        <row r="218">
          <cell r="F218">
            <v>44562</v>
          </cell>
          <cell r="G218">
            <v>2</v>
          </cell>
          <cell r="H218">
            <v>1</v>
          </cell>
          <cell r="N218">
            <v>14</v>
          </cell>
          <cell r="O218">
            <v>14</v>
          </cell>
        </row>
        <row r="219">
          <cell r="F219">
            <v>44593</v>
          </cell>
          <cell r="G219">
            <v>48</v>
          </cell>
          <cell r="H219">
            <v>7</v>
          </cell>
          <cell r="N219">
            <v>17</v>
          </cell>
          <cell r="O219">
            <v>29</v>
          </cell>
        </row>
        <row r="220">
          <cell r="F220">
            <v>44621</v>
          </cell>
          <cell r="G220">
            <v>2</v>
          </cell>
          <cell r="H220">
            <v>1</v>
          </cell>
          <cell r="N220">
            <v>17</v>
          </cell>
          <cell r="O220">
            <v>4</v>
          </cell>
        </row>
      </sheetData>
      <sheetData sheetId="1"/>
      <sheetData sheetId="2">
        <row r="1">
          <cell r="B1" t="str">
            <v>Speed Skating</v>
          </cell>
          <cell r="C1" t="str">
            <v>Nordic combined</v>
          </cell>
          <cell r="D1" t="str">
            <v>Biathlon</v>
          </cell>
          <cell r="E1" t="str">
            <v>Alpine skiing</v>
          </cell>
          <cell r="F1" t="str">
            <v>Bobsleigh</v>
          </cell>
        </row>
        <row r="2">
          <cell r="A2">
            <v>38749</v>
          </cell>
          <cell r="B2">
            <v>16</v>
          </cell>
          <cell r="C2">
            <v>1</v>
          </cell>
          <cell r="D2">
            <v>4</v>
          </cell>
          <cell r="E2">
            <v>6</v>
          </cell>
          <cell r="F2">
            <v>12</v>
          </cell>
        </row>
        <row r="3">
          <cell r="A3">
            <v>40210</v>
          </cell>
          <cell r="B3">
            <v>19</v>
          </cell>
          <cell r="C3">
            <v>3</v>
          </cell>
          <cell r="D3">
            <v>6</v>
          </cell>
          <cell r="E3">
            <v>10</v>
          </cell>
          <cell r="F3">
            <v>19</v>
          </cell>
        </row>
        <row r="4">
          <cell r="A4">
            <v>41671</v>
          </cell>
          <cell r="B4">
            <v>17</v>
          </cell>
          <cell r="C4">
            <v>2</v>
          </cell>
          <cell r="D4">
            <v>7</v>
          </cell>
          <cell r="E4">
            <v>8</v>
          </cell>
          <cell r="F4">
            <v>41</v>
          </cell>
        </row>
        <row r="5">
          <cell r="A5">
            <v>43132</v>
          </cell>
          <cell r="B5">
            <v>16</v>
          </cell>
          <cell r="C5">
            <v>1</v>
          </cell>
          <cell r="D5">
            <v>7</v>
          </cell>
          <cell r="E5">
            <v>17</v>
          </cell>
          <cell r="F5">
            <v>30</v>
          </cell>
        </row>
        <row r="6">
          <cell r="A6">
            <v>44593</v>
          </cell>
          <cell r="B6">
            <v>6</v>
          </cell>
          <cell r="C6">
            <v>1</v>
          </cell>
          <cell r="D6">
            <v>4</v>
          </cell>
          <cell r="E6">
            <v>7</v>
          </cell>
          <cell r="F6">
            <v>15</v>
          </cell>
        </row>
      </sheetData>
      <sheetData sheetId="3">
        <row r="1">
          <cell r="B1" t="str">
            <v>AVG INTEREST LEVEL</v>
          </cell>
        </row>
        <row r="2">
          <cell r="A2" t="str">
            <v>Bobsleigh</v>
          </cell>
          <cell r="B2">
            <v>1.3835616438356164</v>
          </cell>
        </row>
        <row r="3">
          <cell r="A3" t="str">
            <v>Speed Skating</v>
          </cell>
          <cell r="B3">
            <v>1.1301369863013699</v>
          </cell>
        </row>
        <row r="4">
          <cell r="A4" t="str">
            <v>Alpine Skiing</v>
          </cell>
          <cell r="B4">
            <v>1.0525114155251141</v>
          </cell>
        </row>
        <row r="5">
          <cell r="A5" t="str">
            <v>Biathlon</v>
          </cell>
          <cell r="B5">
            <v>0.65981735159817356</v>
          </cell>
        </row>
        <row r="6">
          <cell r="A6" t="str">
            <v>Nordic combined</v>
          </cell>
          <cell r="B6">
            <v>0.42465753424657532</v>
          </cell>
        </row>
      </sheetData>
      <sheetData sheetId="4"/>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7AD03C-5CAB-4AB6-8AEC-1791BAED10B0}" name="Table279" displayName="Table279" ref="A5:C8" totalsRowShown="0" headerRowDxfId="5" dataDxfId="4" headerRowCellStyle="Normal" dataCellStyle="Normal">
  <autoFilter ref="A5:C8" xr:uid="{4513CB76-DC90-024F-B526-B3B76856A064}"/>
  <tableColumns count="3">
    <tableColumn id="1" xr3:uid="{B14E0F30-87F4-4462-8FAC-CA4405734288}" name="location" dataDxfId="3" dataCellStyle="Normal"/>
    <tableColumn id="2" xr3:uid="{B8D5E401-9F21-4E1D-9D88-8DABADA9FCB5}" name="feature" dataDxfId="2" dataCellStyle="Normal"/>
    <tableColumn id="3" xr3:uid="{D433818A-19CF-4AFE-BD17-67061E59773C}" name="description" dataDxfId="1" dataCellStyle="Normal"/>
  </tableColumns>
  <tableStyleInfo name="TableStyleMedium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9B24A24-16CE-44D4-A9E8-B8036FE6CC0C}" name="OlympicsYears" displayName="OlympicsYears" ref="A1:F6" totalsRowShown="0" headerRowCellStyle="Normal" dataCellStyle="Normal">
  <autoFilter ref="A1:F6" xr:uid="{1364D8C2-3D70-3140-A28A-8E61E0D757F4}"/>
  <tableColumns count="6">
    <tableColumn id="1" xr3:uid="{22E0BA26-2599-438F-A891-A52F3525A415}" name="Month" dataDxfId="0" dataCellStyle="Normal"/>
    <tableColumn id="2" xr3:uid="{A056AD45-D145-4310-937C-7CA4F04C750E}" name="Speed Skating" dataCellStyle="Normal"/>
    <tableColumn id="3" xr3:uid="{1AE8B07B-527B-4DB7-BBB1-D0A0CF0F1A13}" name="Nordic combined" dataCellStyle="Normal"/>
    <tableColumn id="4" xr3:uid="{D7EDF284-E059-4301-BDDD-7F0E45264F72}" name="Biathlon" dataCellStyle="Normal"/>
    <tableColumn id="5" xr3:uid="{36F5FDF9-F8F8-4657-859A-5E1668EAFBDF}" name="Alpine skiing" dataCellStyle="Normal"/>
    <tableColumn id="6" xr3:uid="{A3E08788-5569-4A8C-ACF1-C3F6FCCE90CA}" name="Bobsleigh" dataCellStyle="Normal"/>
  </tableColumns>
  <tableStyleInfo name="TableStyleMedium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7CC94C9-EFFF-4935-9AA6-4FCE89EA15FB}" name="WinterSports" displayName="WinterSports" ref="G1:P220" totalsRowShown="0" headerRowCellStyle="Normal" dataCellStyle="Normal">
  <autoFilter ref="G1:P220" xr:uid="{37CC94C9-EFFF-4935-9AA6-4FCE89EA15FB}"/>
  <tableColumns count="10">
    <tableColumn id="1" xr3:uid="{B1CF7B0D-A4E2-451E-94A5-750D8611E16F}" name="Month" dataDxfId="6" dataCellStyle="Normal"/>
    <tableColumn id="2" xr3:uid="{1255C543-EF56-4470-B4F8-8DD9E23A916F}" name="Curling" dataCellStyle="Normal"/>
    <tableColumn id="3" xr3:uid="{2CBA0FE5-9BCB-4C2B-A0F8-A0A1D9A08D42}" name="Luge" dataCellStyle="Normal"/>
    <tableColumn id="4" xr3:uid="{20F94564-A0F9-47E9-B8EA-5B34390BBE14}" name="Speed Skating" dataCellStyle="Normal"/>
    <tableColumn id="5" xr3:uid="{E14EC6CA-96B0-4E46-86AB-84CF8909D87E}" name="Nordic combined" dataCellStyle="Normal"/>
    <tableColumn id="6" xr3:uid="{BC3997A4-3EE9-49B1-A0E5-C53C60D592AB}" name="Biathlon" dataCellStyle="Normal"/>
    <tableColumn id="7" xr3:uid="{206EFF99-F40A-4032-9D9D-09FC593C5AE5}" name="Alpine skiing" dataCellStyle="Normal"/>
    <tableColumn id="8" xr3:uid="{87AFB97F-90D7-42B8-B808-6D99BE57B47E}" name="Bobsleigh" dataCellStyle="Normal"/>
    <tableColumn id="9" xr3:uid="{555713FA-D4F9-45B8-AE3A-AE149128B520}" name="Hockey" dataCellStyle="Normal"/>
    <tableColumn id="10" xr3:uid="{5D980027-4987-455B-B3F0-4E1B5D09DD20}" name="Snowboarding" dataCellStyle="Normal"/>
  </tableColumns>
  <tableStyleInfo name="TableStyleMedium1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1BC1D-73AE-4F6D-8565-F5FCA9971510}">
  <dimension ref="A1:F24"/>
  <sheetViews>
    <sheetView zoomScale="140" workbookViewId="0">
      <selection sqref="A1:C2"/>
    </sheetView>
  </sheetViews>
  <sheetFormatPr defaultColWidth="10.77734375" defaultRowHeight="14.4" x14ac:dyDescent="0.3"/>
  <cols>
    <col min="1" max="1" width="12.109375" style="1" bestFit="1" customWidth="1"/>
    <col min="2" max="2" width="29.33203125" style="1" customWidth="1"/>
    <col min="3" max="3" width="68.6640625" style="1" customWidth="1"/>
    <col min="4" max="4" width="14.6640625" style="1" bestFit="1" customWidth="1"/>
    <col min="5" max="5" width="15.44140625" style="1" bestFit="1" customWidth="1"/>
    <col min="6" max="16384" width="10.77734375" style="1"/>
  </cols>
  <sheetData>
    <row r="1" spans="1:6" ht="15" customHeight="1" x14ac:dyDescent="0.3">
      <c r="A1" s="52" t="s">
        <v>0</v>
      </c>
      <c r="B1" s="53"/>
      <c r="C1" s="53"/>
    </row>
    <row r="2" spans="1:6" ht="16.05" customHeight="1" x14ac:dyDescent="0.3">
      <c r="A2" s="52"/>
      <c r="B2" s="53"/>
      <c r="C2" s="53"/>
    </row>
    <row r="3" spans="1:6" ht="15" customHeight="1" x14ac:dyDescent="0.3">
      <c r="A3" s="54" t="s">
        <v>1</v>
      </c>
      <c r="B3" s="54"/>
      <c r="C3" s="54"/>
      <c r="D3" s="2"/>
      <c r="E3" s="2"/>
      <c r="F3" s="2"/>
    </row>
    <row r="4" spans="1:6" x14ac:dyDescent="0.3">
      <c r="A4" s="54"/>
      <c r="B4" s="54"/>
      <c r="C4" s="54"/>
      <c r="D4" s="2"/>
      <c r="E4" s="2"/>
      <c r="F4" s="2"/>
    </row>
    <row r="5" spans="1:6" x14ac:dyDescent="0.3">
      <c r="A5" s="3" t="s">
        <v>2</v>
      </c>
      <c r="B5" s="3" t="s">
        <v>3</v>
      </c>
      <c r="C5" s="3" t="s">
        <v>4</v>
      </c>
      <c r="D5" s="2"/>
      <c r="E5" s="2"/>
      <c r="F5" s="2"/>
    </row>
    <row r="6" spans="1:6" x14ac:dyDescent="0.3">
      <c r="A6" s="3" t="s">
        <v>5</v>
      </c>
      <c r="B6" s="3" t="s">
        <v>6</v>
      </c>
      <c r="C6" s="3" t="s">
        <v>7</v>
      </c>
      <c r="D6" s="2"/>
      <c r="E6" s="2"/>
      <c r="F6" s="2"/>
    </row>
    <row r="7" spans="1:6" x14ac:dyDescent="0.3">
      <c r="A7" s="3" t="s">
        <v>8</v>
      </c>
      <c r="B7" s="3" t="s">
        <v>9</v>
      </c>
      <c r="C7" s="3" t="s">
        <v>10</v>
      </c>
      <c r="D7" s="2"/>
      <c r="E7" s="2"/>
      <c r="F7" s="2"/>
    </row>
    <row r="8" spans="1:6" ht="79.05" customHeight="1" x14ac:dyDescent="0.3">
      <c r="A8" s="3" t="s">
        <v>11</v>
      </c>
      <c r="B8" s="3" t="s">
        <v>12</v>
      </c>
      <c r="C8" s="3" t="s">
        <v>13</v>
      </c>
      <c r="D8" s="2"/>
      <c r="E8" s="2"/>
      <c r="F8" s="2"/>
    </row>
    <row r="9" spans="1:6" x14ac:dyDescent="0.3">
      <c r="A9" s="2"/>
      <c r="B9" s="2"/>
      <c r="C9" s="2"/>
      <c r="D9" s="2"/>
      <c r="E9" s="2"/>
      <c r="F9" s="2"/>
    </row>
    <row r="10" spans="1:6" ht="15" customHeight="1" x14ac:dyDescent="0.3">
      <c r="A10" s="2"/>
      <c r="B10" s="2"/>
      <c r="C10" s="2"/>
      <c r="D10" s="2"/>
      <c r="E10" s="2"/>
      <c r="F10" s="2"/>
    </row>
    <row r="11" spans="1:6" ht="16.05" customHeight="1" x14ac:dyDescent="0.3">
      <c r="A11" s="2"/>
      <c r="B11" s="2"/>
      <c r="C11" s="2"/>
      <c r="D11" s="2"/>
      <c r="E11" s="2"/>
      <c r="F11" s="2"/>
    </row>
    <row r="12" spans="1:6" x14ac:dyDescent="0.3">
      <c r="A12" s="2"/>
      <c r="B12" s="2"/>
      <c r="C12" s="2"/>
      <c r="D12" s="2"/>
      <c r="E12" s="2"/>
      <c r="F12" s="2"/>
    </row>
    <row r="13" spans="1:6" x14ac:dyDescent="0.3">
      <c r="A13" s="2"/>
      <c r="B13" s="2"/>
      <c r="C13" s="2"/>
      <c r="D13" s="2"/>
      <c r="E13" s="2"/>
      <c r="F13" s="2"/>
    </row>
    <row r="14" spans="1:6" x14ac:dyDescent="0.3">
      <c r="A14" s="2"/>
      <c r="B14" s="2"/>
      <c r="C14" s="2"/>
      <c r="D14" s="2"/>
      <c r="E14" s="2"/>
      <c r="F14" s="2"/>
    </row>
    <row r="15" spans="1:6" x14ac:dyDescent="0.3">
      <c r="A15" s="2"/>
      <c r="B15" s="2"/>
      <c r="C15" s="2"/>
      <c r="D15" s="2"/>
      <c r="E15" s="2"/>
      <c r="F15" s="2"/>
    </row>
    <row r="16" spans="1:6" x14ac:dyDescent="0.3">
      <c r="A16" s="2"/>
      <c r="B16" s="2"/>
      <c r="C16" s="2"/>
      <c r="D16" s="2"/>
      <c r="E16" s="2"/>
      <c r="F16" s="2"/>
    </row>
    <row r="17" spans="1:6" ht="16.05" customHeight="1" x14ac:dyDescent="0.3">
      <c r="A17" s="2"/>
      <c r="B17" s="2"/>
      <c r="C17" s="2"/>
      <c r="D17" s="2"/>
      <c r="E17" s="2"/>
      <c r="F17" s="2"/>
    </row>
    <row r="18" spans="1:6" ht="16.95" customHeight="1" x14ac:dyDescent="0.3">
      <c r="A18" s="2"/>
      <c r="B18" s="2"/>
      <c r="C18" s="2"/>
      <c r="D18" s="2"/>
      <c r="E18" s="2"/>
      <c r="F18" s="2"/>
    </row>
    <row r="19" spans="1:6" x14ac:dyDescent="0.3">
      <c r="A19" s="2"/>
      <c r="B19" s="2"/>
      <c r="C19" s="2"/>
      <c r="D19" s="2"/>
      <c r="E19" s="2"/>
      <c r="F19" s="2"/>
    </row>
    <row r="20" spans="1:6" x14ac:dyDescent="0.3">
      <c r="A20" s="2"/>
      <c r="B20" s="2"/>
      <c r="C20" s="2"/>
      <c r="D20" s="2"/>
      <c r="E20" s="2"/>
      <c r="F20" s="2"/>
    </row>
    <row r="21" spans="1:6" x14ac:dyDescent="0.3">
      <c r="A21" s="2"/>
      <c r="B21" s="2"/>
      <c r="C21" s="2"/>
      <c r="D21" s="2"/>
      <c r="E21" s="2"/>
      <c r="F21" s="2"/>
    </row>
    <row r="22" spans="1:6" x14ac:dyDescent="0.3">
      <c r="A22" s="2"/>
      <c r="B22" s="2"/>
      <c r="C22" s="2"/>
      <c r="D22" s="2"/>
      <c r="E22" s="2"/>
      <c r="F22" s="2"/>
    </row>
    <row r="23" spans="1:6" x14ac:dyDescent="0.3">
      <c r="A23" s="2"/>
      <c r="B23" s="2"/>
      <c r="C23" s="2"/>
      <c r="D23" s="2"/>
      <c r="E23" s="2"/>
      <c r="F23" s="2"/>
    </row>
    <row r="24" spans="1:6" x14ac:dyDescent="0.3">
      <c r="A24" s="2"/>
      <c r="B24" s="2"/>
      <c r="C24" s="2"/>
      <c r="D24" s="2"/>
      <c r="E24" s="2"/>
      <c r="F24" s="2"/>
    </row>
  </sheetData>
  <mergeCells count="2">
    <mergeCell ref="A1:C2"/>
    <mergeCell ref="A3:C4"/>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6B047-766F-4C0E-85D0-5029CB1A6D6F}">
  <dimension ref="A1:F6"/>
  <sheetViews>
    <sheetView zoomScaleNormal="100" workbookViewId="0">
      <selection activeCell="B2" sqref="B2"/>
    </sheetView>
  </sheetViews>
  <sheetFormatPr defaultColWidth="11.5546875" defaultRowHeight="14.4" x14ac:dyDescent="0.3"/>
  <cols>
    <col min="2" max="2" width="18.44140625" customWidth="1"/>
    <col min="3" max="3" width="22" customWidth="1"/>
    <col min="4" max="4" width="12.44140625" customWidth="1"/>
    <col min="5" max="5" width="17.109375" customWidth="1"/>
    <col min="6" max="6" width="14" customWidth="1"/>
  </cols>
  <sheetData>
    <row r="1" spans="1:6" x14ac:dyDescent="0.3">
      <c r="A1" t="s">
        <v>14</v>
      </c>
      <c r="B1" t="s">
        <v>15</v>
      </c>
      <c r="C1" t="s">
        <v>16</v>
      </c>
      <c r="D1" t="s">
        <v>17</v>
      </c>
      <c r="E1" t="s">
        <v>18</v>
      </c>
      <c r="F1" t="s">
        <v>19</v>
      </c>
    </row>
    <row r="2" spans="1:6" x14ac:dyDescent="0.3">
      <c r="A2" s="4">
        <v>38749</v>
      </c>
      <c r="B2">
        <v>16</v>
      </c>
      <c r="C2">
        <v>1</v>
      </c>
      <c r="D2">
        <v>4</v>
      </c>
      <c r="E2">
        <v>6</v>
      </c>
      <c r="F2">
        <v>12</v>
      </c>
    </row>
    <row r="3" spans="1:6" x14ac:dyDescent="0.3">
      <c r="A3" s="4">
        <v>40210</v>
      </c>
      <c r="B3">
        <v>19</v>
      </c>
      <c r="C3">
        <v>3</v>
      </c>
      <c r="D3">
        <v>6</v>
      </c>
      <c r="E3">
        <v>10</v>
      </c>
      <c r="F3">
        <v>19</v>
      </c>
    </row>
    <row r="4" spans="1:6" x14ac:dyDescent="0.3">
      <c r="A4" s="4">
        <v>41671</v>
      </c>
      <c r="B4">
        <v>17</v>
      </c>
      <c r="C4">
        <v>2</v>
      </c>
      <c r="D4">
        <v>7</v>
      </c>
      <c r="E4">
        <v>8</v>
      </c>
      <c r="F4">
        <v>41</v>
      </c>
    </row>
    <row r="5" spans="1:6" x14ac:dyDescent="0.3">
      <c r="A5" s="4">
        <v>43132</v>
      </c>
      <c r="B5">
        <v>16</v>
      </c>
      <c r="C5">
        <v>1</v>
      </c>
      <c r="D5">
        <v>7</v>
      </c>
      <c r="E5">
        <v>17</v>
      </c>
      <c r="F5">
        <v>30</v>
      </c>
    </row>
    <row r="6" spans="1:6" x14ac:dyDescent="0.3">
      <c r="A6" s="4">
        <v>44593</v>
      </c>
      <c r="B6">
        <v>6</v>
      </c>
      <c r="C6">
        <v>1</v>
      </c>
      <c r="D6">
        <v>4</v>
      </c>
      <c r="E6">
        <v>7</v>
      </c>
      <c r="F6">
        <v>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B5255-9144-4A2E-B041-2F76A3F9A66D}">
  <dimension ref="A1:P220"/>
  <sheetViews>
    <sheetView tabSelected="1" zoomScale="89" zoomScaleNormal="110" workbookViewId="0">
      <selection activeCell="E20" sqref="E20"/>
    </sheetView>
  </sheetViews>
  <sheetFormatPr defaultRowHeight="14.4" x14ac:dyDescent="0.3"/>
  <cols>
    <col min="1" max="1" width="10.6640625" customWidth="1"/>
    <col min="2" max="2" width="87" customWidth="1"/>
    <col min="3" max="3" width="16.5546875" customWidth="1"/>
    <col min="7" max="7" width="10.5546875" customWidth="1"/>
    <col min="8" max="8" width="10.6640625" customWidth="1"/>
    <col min="9" max="9" width="9.88671875" customWidth="1"/>
    <col min="10" max="10" width="16.5546875" customWidth="1"/>
    <col min="11" max="11" width="19.6640625" customWidth="1"/>
    <col min="12" max="12" width="12.6640625" customWidth="1"/>
    <col min="13" max="13" width="16.109375" customWidth="1"/>
    <col min="14" max="14" width="13.33203125" customWidth="1"/>
    <col min="15" max="15" width="11.44140625" customWidth="1"/>
    <col min="16" max="16" width="17.21875" customWidth="1"/>
  </cols>
  <sheetData>
    <row r="1" spans="1:16" ht="15" customHeight="1" thickBot="1" x14ac:dyDescent="0.35">
      <c r="A1" s="24" t="s">
        <v>24</v>
      </c>
      <c r="B1" s="24"/>
      <c r="C1" s="24"/>
      <c r="G1" s="5" t="s">
        <v>14</v>
      </c>
      <c r="H1" t="s">
        <v>20</v>
      </c>
      <c r="I1" t="s">
        <v>21</v>
      </c>
      <c r="J1" t="s">
        <v>15</v>
      </c>
      <c r="K1" t="s">
        <v>16</v>
      </c>
      <c r="L1" t="s">
        <v>17</v>
      </c>
      <c r="M1" t="s">
        <v>18</v>
      </c>
      <c r="N1" t="s">
        <v>19</v>
      </c>
      <c r="O1" t="s">
        <v>22</v>
      </c>
      <c r="P1" t="s">
        <v>23</v>
      </c>
    </row>
    <row r="2" spans="1:16" ht="15" customHeight="1" thickBot="1" x14ac:dyDescent="0.35">
      <c r="A2" s="24"/>
      <c r="B2" s="24"/>
      <c r="C2" s="24"/>
      <c r="G2" s="5">
        <v>37987</v>
      </c>
      <c r="H2">
        <v>2</v>
      </c>
      <c r="I2">
        <v>1</v>
      </c>
      <c r="J2">
        <v>2</v>
      </c>
      <c r="K2">
        <v>0.5</v>
      </c>
      <c r="L2">
        <v>1</v>
      </c>
      <c r="M2">
        <v>3</v>
      </c>
      <c r="N2">
        <v>1</v>
      </c>
      <c r="O2">
        <v>23</v>
      </c>
      <c r="P2">
        <v>34</v>
      </c>
    </row>
    <row r="3" spans="1:16" ht="15" thickBot="1" x14ac:dyDescent="0.35">
      <c r="A3" s="21" t="s">
        <v>25</v>
      </c>
      <c r="B3" s="21"/>
      <c r="C3" s="21"/>
      <c r="G3" s="5">
        <v>38018</v>
      </c>
      <c r="H3">
        <v>2</v>
      </c>
      <c r="I3">
        <v>1</v>
      </c>
      <c r="J3">
        <v>2</v>
      </c>
      <c r="K3">
        <v>0.5</v>
      </c>
      <c r="L3">
        <v>1</v>
      </c>
      <c r="M3">
        <v>3</v>
      </c>
      <c r="N3">
        <v>1</v>
      </c>
      <c r="O3">
        <v>24</v>
      </c>
      <c r="P3">
        <v>26</v>
      </c>
    </row>
    <row r="4" spans="1:16" ht="15" thickBot="1" x14ac:dyDescent="0.35">
      <c r="A4" s="21"/>
      <c r="B4" s="21"/>
      <c r="C4" s="21"/>
      <c r="G4" s="5">
        <v>38047</v>
      </c>
      <c r="H4">
        <v>3</v>
      </c>
      <c r="I4">
        <v>1</v>
      </c>
      <c r="J4">
        <v>1</v>
      </c>
      <c r="K4">
        <v>0</v>
      </c>
      <c r="L4">
        <v>1</v>
      </c>
      <c r="M4">
        <v>1</v>
      </c>
      <c r="N4">
        <v>1</v>
      </c>
      <c r="O4">
        <v>23</v>
      </c>
      <c r="P4">
        <v>15</v>
      </c>
    </row>
    <row r="5" spans="1:16" ht="15" thickBot="1" x14ac:dyDescent="0.35">
      <c r="A5" s="25">
        <v>1</v>
      </c>
      <c r="B5" s="26" t="s">
        <v>26</v>
      </c>
      <c r="C5" s="26"/>
      <c r="G5" s="5">
        <v>38078</v>
      </c>
      <c r="H5">
        <v>1</v>
      </c>
      <c r="I5">
        <v>1</v>
      </c>
      <c r="J5">
        <v>1</v>
      </c>
      <c r="K5">
        <v>0.5</v>
      </c>
      <c r="L5">
        <v>0.5</v>
      </c>
      <c r="M5">
        <v>0.5</v>
      </c>
      <c r="N5">
        <v>0.5</v>
      </c>
      <c r="O5">
        <v>16</v>
      </c>
      <c r="P5">
        <v>8</v>
      </c>
    </row>
    <row r="6" spans="1:16" ht="15" thickBot="1" x14ac:dyDescent="0.35">
      <c r="A6" s="25"/>
      <c r="B6" s="26"/>
      <c r="C6" s="26"/>
      <c r="G6" s="5">
        <v>38108</v>
      </c>
      <c r="H6">
        <v>1</v>
      </c>
      <c r="I6">
        <v>0.5</v>
      </c>
      <c r="J6">
        <v>1</v>
      </c>
      <c r="K6">
        <v>0</v>
      </c>
      <c r="L6">
        <v>1</v>
      </c>
      <c r="M6">
        <v>0.5</v>
      </c>
      <c r="N6">
        <v>1</v>
      </c>
      <c r="O6">
        <v>15</v>
      </c>
      <c r="P6">
        <v>6</v>
      </c>
    </row>
    <row r="7" spans="1:16" x14ac:dyDescent="0.3">
      <c r="A7" s="6"/>
      <c r="B7" s="6"/>
      <c r="C7" s="6"/>
      <c r="G7" s="5">
        <v>38139</v>
      </c>
      <c r="H7">
        <v>0.5</v>
      </c>
      <c r="I7">
        <v>1</v>
      </c>
      <c r="J7">
        <v>1</v>
      </c>
      <c r="K7">
        <v>0</v>
      </c>
      <c r="L7">
        <v>0.5</v>
      </c>
      <c r="M7">
        <v>0.5</v>
      </c>
      <c r="N7">
        <v>0.5</v>
      </c>
      <c r="O7">
        <v>12</v>
      </c>
      <c r="P7">
        <v>5</v>
      </c>
    </row>
    <row r="8" spans="1:16" x14ac:dyDescent="0.3">
      <c r="A8" s="6"/>
      <c r="B8" s="6"/>
      <c r="C8" s="6"/>
      <c r="G8" s="5">
        <v>38169</v>
      </c>
      <c r="H8">
        <v>1</v>
      </c>
      <c r="I8">
        <v>0.5</v>
      </c>
      <c r="J8">
        <v>1</v>
      </c>
      <c r="K8">
        <v>0</v>
      </c>
      <c r="L8">
        <v>1</v>
      </c>
      <c r="M8">
        <v>0.5</v>
      </c>
      <c r="N8">
        <v>1</v>
      </c>
      <c r="O8">
        <v>11</v>
      </c>
      <c r="P8">
        <v>6</v>
      </c>
    </row>
    <row r="9" spans="1:16" x14ac:dyDescent="0.3">
      <c r="A9" s="6"/>
      <c r="B9" s="6"/>
      <c r="C9" s="6"/>
      <c r="G9" s="5">
        <v>38200</v>
      </c>
      <c r="H9">
        <v>1</v>
      </c>
      <c r="I9">
        <v>1</v>
      </c>
      <c r="J9">
        <v>1</v>
      </c>
      <c r="K9">
        <v>0</v>
      </c>
      <c r="L9">
        <v>1</v>
      </c>
      <c r="M9">
        <v>1</v>
      </c>
      <c r="N9">
        <v>1</v>
      </c>
      <c r="O9">
        <v>14</v>
      </c>
      <c r="P9">
        <v>8</v>
      </c>
    </row>
    <row r="10" spans="1:16" x14ac:dyDescent="0.3">
      <c r="A10" s="6"/>
      <c r="B10" s="6"/>
      <c r="C10" s="6"/>
      <c r="G10" s="5">
        <v>38231</v>
      </c>
      <c r="H10">
        <v>1</v>
      </c>
      <c r="I10">
        <v>1</v>
      </c>
      <c r="J10">
        <v>1</v>
      </c>
      <c r="K10">
        <v>0</v>
      </c>
      <c r="L10">
        <v>0.5</v>
      </c>
      <c r="M10">
        <v>1</v>
      </c>
      <c r="N10">
        <v>1</v>
      </c>
      <c r="O10">
        <v>18</v>
      </c>
      <c r="P10">
        <v>11</v>
      </c>
    </row>
    <row r="11" spans="1:16" x14ac:dyDescent="0.3">
      <c r="A11" s="6"/>
      <c r="B11" s="6"/>
      <c r="C11" s="6"/>
      <c r="G11" s="5">
        <v>38261</v>
      </c>
      <c r="H11">
        <v>1</v>
      </c>
      <c r="I11">
        <v>0.5</v>
      </c>
      <c r="J11">
        <v>1</v>
      </c>
      <c r="K11">
        <v>0.5</v>
      </c>
      <c r="L11">
        <v>0.5</v>
      </c>
      <c r="M11">
        <v>1</v>
      </c>
      <c r="N11">
        <v>1</v>
      </c>
      <c r="O11">
        <v>17</v>
      </c>
      <c r="P11">
        <v>18</v>
      </c>
    </row>
    <row r="12" spans="1:16" x14ac:dyDescent="0.3">
      <c r="A12" s="6"/>
      <c r="B12" s="6"/>
      <c r="C12" s="6"/>
      <c r="G12" s="5">
        <v>38292</v>
      </c>
      <c r="H12">
        <v>1</v>
      </c>
      <c r="I12">
        <v>1</v>
      </c>
      <c r="J12">
        <v>1</v>
      </c>
      <c r="K12">
        <v>0.5</v>
      </c>
      <c r="L12">
        <v>0.5</v>
      </c>
      <c r="M12">
        <v>1</v>
      </c>
      <c r="N12">
        <v>1</v>
      </c>
      <c r="O12">
        <v>20</v>
      </c>
      <c r="P12">
        <v>25</v>
      </c>
    </row>
    <row r="13" spans="1:16" x14ac:dyDescent="0.3">
      <c r="A13" s="6"/>
      <c r="B13" s="6"/>
      <c r="C13" s="6"/>
      <c r="G13" s="5">
        <v>38322</v>
      </c>
      <c r="H13">
        <v>1</v>
      </c>
      <c r="I13">
        <v>1</v>
      </c>
      <c r="J13">
        <v>1</v>
      </c>
      <c r="K13">
        <v>0</v>
      </c>
      <c r="L13">
        <v>0.5</v>
      </c>
      <c r="M13">
        <v>3</v>
      </c>
      <c r="N13">
        <v>1</v>
      </c>
      <c r="O13">
        <v>20</v>
      </c>
      <c r="P13">
        <v>30</v>
      </c>
    </row>
    <row r="14" spans="1:16" x14ac:dyDescent="0.3">
      <c r="A14" s="6"/>
      <c r="B14" s="6"/>
      <c r="C14" s="6"/>
      <c r="G14" s="5">
        <v>38353</v>
      </c>
      <c r="H14">
        <v>2</v>
      </c>
      <c r="I14">
        <v>1</v>
      </c>
      <c r="J14">
        <v>1</v>
      </c>
      <c r="K14">
        <v>0</v>
      </c>
      <c r="L14">
        <v>1</v>
      </c>
      <c r="M14">
        <v>3</v>
      </c>
      <c r="N14">
        <v>1</v>
      </c>
      <c r="O14">
        <v>21</v>
      </c>
      <c r="P14">
        <v>29</v>
      </c>
    </row>
    <row r="15" spans="1:16" x14ac:dyDescent="0.3">
      <c r="A15" s="6"/>
      <c r="B15" s="6"/>
      <c r="C15" s="6"/>
      <c r="G15" s="5">
        <v>38384</v>
      </c>
      <c r="H15">
        <v>2</v>
      </c>
      <c r="I15">
        <v>1</v>
      </c>
      <c r="J15">
        <v>1</v>
      </c>
      <c r="K15">
        <v>0.5</v>
      </c>
      <c r="L15">
        <v>0.5</v>
      </c>
      <c r="M15">
        <v>2</v>
      </c>
      <c r="N15">
        <v>1</v>
      </c>
      <c r="O15">
        <v>22</v>
      </c>
      <c r="P15">
        <v>21</v>
      </c>
    </row>
    <row r="16" spans="1:16" x14ac:dyDescent="0.3">
      <c r="A16" s="6"/>
      <c r="B16" s="6"/>
      <c r="C16" s="6"/>
      <c r="G16" s="5">
        <v>38412</v>
      </c>
      <c r="H16">
        <v>2</v>
      </c>
      <c r="I16">
        <v>1</v>
      </c>
      <c r="J16">
        <v>1</v>
      </c>
      <c r="K16">
        <v>0</v>
      </c>
      <c r="L16">
        <v>0.5</v>
      </c>
      <c r="M16">
        <v>2</v>
      </c>
      <c r="N16">
        <v>1</v>
      </c>
      <c r="O16">
        <v>21</v>
      </c>
      <c r="P16">
        <v>14</v>
      </c>
    </row>
    <row r="17" spans="1:16" x14ac:dyDescent="0.3">
      <c r="A17" s="6"/>
      <c r="B17" s="6"/>
      <c r="C17" s="6"/>
      <c r="G17" s="5">
        <v>38443</v>
      </c>
      <c r="H17">
        <v>2</v>
      </c>
      <c r="I17">
        <v>1</v>
      </c>
      <c r="J17">
        <v>1</v>
      </c>
      <c r="K17">
        <v>0</v>
      </c>
      <c r="L17">
        <v>0.5</v>
      </c>
      <c r="M17">
        <v>1</v>
      </c>
      <c r="N17">
        <v>1</v>
      </c>
      <c r="O17">
        <v>12</v>
      </c>
      <c r="P17">
        <v>7</v>
      </c>
    </row>
    <row r="18" spans="1:16" x14ac:dyDescent="0.3">
      <c r="A18" s="6"/>
      <c r="B18" s="6"/>
      <c r="C18" s="6"/>
      <c r="G18" s="5">
        <v>38473</v>
      </c>
      <c r="H18">
        <v>1</v>
      </c>
      <c r="I18">
        <v>1</v>
      </c>
      <c r="J18">
        <v>1</v>
      </c>
      <c r="K18">
        <v>0.5</v>
      </c>
      <c r="L18">
        <v>0.5</v>
      </c>
      <c r="M18">
        <v>1</v>
      </c>
      <c r="N18">
        <v>1</v>
      </c>
      <c r="O18">
        <v>11</v>
      </c>
      <c r="P18">
        <v>6</v>
      </c>
    </row>
    <row r="19" spans="1:16" x14ac:dyDescent="0.3">
      <c r="A19" s="6"/>
      <c r="B19" s="6"/>
      <c r="C19" s="6"/>
      <c r="G19" s="5">
        <v>38504</v>
      </c>
      <c r="H19">
        <v>1</v>
      </c>
      <c r="I19">
        <v>1</v>
      </c>
      <c r="J19">
        <v>1</v>
      </c>
      <c r="K19">
        <v>0.5</v>
      </c>
      <c r="L19">
        <v>0.5</v>
      </c>
      <c r="M19">
        <v>0.5</v>
      </c>
      <c r="N19">
        <v>0.5</v>
      </c>
      <c r="O19">
        <v>9</v>
      </c>
      <c r="P19">
        <v>4</v>
      </c>
    </row>
    <row r="20" spans="1:16" x14ac:dyDescent="0.3">
      <c r="A20" s="6"/>
      <c r="B20" s="6"/>
      <c r="C20" s="6"/>
      <c r="G20" s="5">
        <v>38534</v>
      </c>
      <c r="H20">
        <v>1</v>
      </c>
      <c r="I20">
        <v>1</v>
      </c>
      <c r="J20">
        <v>1</v>
      </c>
      <c r="K20">
        <v>0</v>
      </c>
      <c r="L20">
        <v>0.5</v>
      </c>
      <c r="M20">
        <v>0.5</v>
      </c>
      <c r="N20">
        <v>1</v>
      </c>
      <c r="O20">
        <v>9</v>
      </c>
      <c r="P20">
        <v>6</v>
      </c>
    </row>
    <row r="21" spans="1:16" x14ac:dyDescent="0.3">
      <c r="A21" s="6"/>
      <c r="B21" s="6"/>
      <c r="C21" s="6"/>
      <c r="G21" s="5">
        <v>38565</v>
      </c>
      <c r="H21">
        <v>1</v>
      </c>
      <c r="I21">
        <v>1</v>
      </c>
      <c r="J21">
        <v>1</v>
      </c>
      <c r="K21">
        <v>0</v>
      </c>
      <c r="L21">
        <v>0.5</v>
      </c>
      <c r="M21">
        <v>1</v>
      </c>
      <c r="N21">
        <v>1</v>
      </c>
      <c r="O21">
        <v>12</v>
      </c>
      <c r="P21">
        <v>8</v>
      </c>
    </row>
    <row r="22" spans="1:16" x14ac:dyDescent="0.3">
      <c r="A22" s="6"/>
      <c r="B22" s="6"/>
      <c r="C22" s="6"/>
      <c r="G22" s="5">
        <v>38596</v>
      </c>
      <c r="H22">
        <v>1</v>
      </c>
      <c r="I22">
        <v>1</v>
      </c>
      <c r="J22">
        <v>1</v>
      </c>
      <c r="K22">
        <v>0</v>
      </c>
      <c r="L22">
        <v>0.5</v>
      </c>
      <c r="M22">
        <v>1</v>
      </c>
      <c r="N22">
        <v>0.5</v>
      </c>
      <c r="O22">
        <v>15</v>
      </c>
      <c r="P22">
        <v>12</v>
      </c>
    </row>
    <row r="23" spans="1:16" x14ac:dyDescent="0.3">
      <c r="A23" s="6"/>
      <c r="B23" s="6"/>
      <c r="C23" s="6"/>
      <c r="G23" s="5">
        <v>38626</v>
      </c>
      <c r="H23">
        <v>1</v>
      </c>
      <c r="I23">
        <v>1</v>
      </c>
      <c r="J23">
        <v>1</v>
      </c>
      <c r="K23">
        <v>0.5</v>
      </c>
      <c r="L23">
        <v>0.5</v>
      </c>
      <c r="M23">
        <v>1</v>
      </c>
      <c r="N23">
        <v>1</v>
      </c>
      <c r="O23">
        <v>18</v>
      </c>
      <c r="P23">
        <v>17</v>
      </c>
    </row>
    <row r="24" spans="1:16" ht="15" thickBot="1" x14ac:dyDescent="0.35">
      <c r="A24" s="6"/>
      <c r="B24" s="6"/>
      <c r="C24" s="6"/>
      <c r="G24" s="5">
        <v>38657</v>
      </c>
      <c r="H24">
        <v>4</v>
      </c>
      <c r="I24">
        <v>1</v>
      </c>
      <c r="J24">
        <v>1</v>
      </c>
      <c r="K24">
        <v>0.5</v>
      </c>
      <c r="L24">
        <v>0.5</v>
      </c>
      <c r="M24">
        <v>2</v>
      </c>
      <c r="N24">
        <v>1</v>
      </c>
      <c r="O24">
        <v>23</v>
      </c>
      <c r="P24">
        <v>25</v>
      </c>
    </row>
    <row r="25" spans="1:16" ht="15" thickBot="1" x14ac:dyDescent="0.35">
      <c r="A25" s="27">
        <v>2</v>
      </c>
      <c r="B25" s="26" t="s">
        <v>27</v>
      </c>
      <c r="C25" s="26"/>
      <c r="G25" s="5">
        <v>38687</v>
      </c>
      <c r="H25">
        <v>3</v>
      </c>
      <c r="I25">
        <v>1</v>
      </c>
      <c r="J25">
        <v>2</v>
      </c>
      <c r="K25">
        <v>0</v>
      </c>
      <c r="L25">
        <v>0.5</v>
      </c>
      <c r="M25">
        <v>2</v>
      </c>
      <c r="N25">
        <v>1</v>
      </c>
      <c r="O25">
        <v>23</v>
      </c>
      <c r="P25">
        <v>39</v>
      </c>
    </row>
    <row r="26" spans="1:16" ht="15" thickBot="1" x14ac:dyDescent="0.35">
      <c r="A26" s="27"/>
      <c r="B26" s="26"/>
      <c r="C26" s="26"/>
      <c r="G26" s="5">
        <v>38718</v>
      </c>
      <c r="H26">
        <v>3</v>
      </c>
      <c r="I26">
        <v>2</v>
      </c>
      <c r="J26">
        <v>3</v>
      </c>
      <c r="K26">
        <v>0.5</v>
      </c>
      <c r="L26">
        <v>1</v>
      </c>
      <c r="M26">
        <v>2</v>
      </c>
      <c r="N26">
        <v>2</v>
      </c>
      <c r="O26">
        <v>23</v>
      </c>
      <c r="P26">
        <v>30</v>
      </c>
    </row>
    <row r="27" spans="1:16" ht="15" customHeight="1" x14ac:dyDescent="0.3">
      <c r="A27" s="19" t="s">
        <v>28</v>
      </c>
      <c r="B27" s="19"/>
      <c r="C27" s="19"/>
      <c r="G27" s="5">
        <v>38749</v>
      </c>
      <c r="H27">
        <v>78</v>
      </c>
      <c r="I27">
        <v>9</v>
      </c>
      <c r="J27">
        <v>16</v>
      </c>
      <c r="K27">
        <v>1</v>
      </c>
      <c r="L27">
        <v>4</v>
      </c>
      <c r="M27">
        <v>6</v>
      </c>
      <c r="N27">
        <v>12</v>
      </c>
      <c r="O27">
        <v>26</v>
      </c>
      <c r="P27">
        <v>45</v>
      </c>
    </row>
    <row r="28" spans="1:16" x14ac:dyDescent="0.3">
      <c r="A28" s="20"/>
      <c r="B28" s="20"/>
      <c r="C28" s="20"/>
      <c r="G28" s="5">
        <v>38777</v>
      </c>
      <c r="H28">
        <v>6</v>
      </c>
      <c r="I28">
        <v>2</v>
      </c>
      <c r="J28">
        <v>3</v>
      </c>
      <c r="K28">
        <v>0.5</v>
      </c>
      <c r="L28">
        <v>1</v>
      </c>
      <c r="M28">
        <v>2</v>
      </c>
      <c r="N28">
        <v>2</v>
      </c>
      <c r="O28">
        <v>23</v>
      </c>
      <c r="P28">
        <v>20</v>
      </c>
    </row>
    <row r="29" spans="1:16" x14ac:dyDescent="0.3">
      <c r="A29" s="20"/>
      <c r="B29" s="20"/>
      <c r="C29" s="20"/>
      <c r="G29" s="5">
        <v>38808</v>
      </c>
      <c r="H29">
        <v>3</v>
      </c>
      <c r="I29">
        <v>1</v>
      </c>
      <c r="J29">
        <v>1</v>
      </c>
      <c r="K29">
        <v>0.5</v>
      </c>
      <c r="L29">
        <v>0.5</v>
      </c>
      <c r="M29">
        <v>1</v>
      </c>
      <c r="N29">
        <v>1</v>
      </c>
      <c r="O29">
        <v>14</v>
      </c>
      <c r="P29">
        <v>7</v>
      </c>
    </row>
    <row r="30" spans="1:16" x14ac:dyDescent="0.3">
      <c r="A30" s="20"/>
      <c r="B30" s="20"/>
      <c r="C30" s="20"/>
      <c r="G30" s="5">
        <v>38838</v>
      </c>
      <c r="H30">
        <v>1</v>
      </c>
      <c r="I30">
        <v>1</v>
      </c>
      <c r="J30">
        <v>2</v>
      </c>
      <c r="K30">
        <v>0</v>
      </c>
      <c r="L30">
        <v>0.5</v>
      </c>
      <c r="M30">
        <v>0.5</v>
      </c>
      <c r="N30">
        <v>0.5</v>
      </c>
      <c r="O30">
        <v>13</v>
      </c>
      <c r="P30">
        <v>6</v>
      </c>
    </row>
    <row r="31" spans="1:16" x14ac:dyDescent="0.3">
      <c r="A31" s="20"/>
      <c r="B31" s="20"/>
      <c r="C31" s="20"/>
      <c r="G31" s="5">
        <v>38869</v>
      </c>
      <c r="H31">
        <v>1</v>
      </c>
      <c r="I31">
        <v>1</v>
      </c>
      <c r="J31">
        <v>1</v>
      </c>
      <c r="K31">
        <v>0</v>
      </c>
      <c r="L31">
        <v>0.5</v>
      </c>
      <c r="M31">
        <v>0.5</v>
      </c>
      <c r="N31">
        <v>1</v>
      </c>
      <c r="O31">
        <v>10</v>
      </c>
      <c r="P31">
        <v>4</v>
      </c>
    </row>
    <row r="32" spans="1:16" x14ac:dyDescent="0.3">
      <c r="A32" s="20"/>
      <c r="B32" s="20"/>
      <c r="C32" s="20"/>
      <c r="G32" s="5">
        <v>38899</v>
      </c>
      <c r="H32">
        <v>1</v>
      </c>
      <c r="I32">
        <v>1</v>
      </c>
      <c r="J32">
        <v>1</v>
      </c>
      <c r="K32">
        <v>0.5</v>
      </c>
      <c r="L32">
        <v>0.5</v>
      </c>
      <c r="M32">
        <v>0.5</v>
      </c>
      <c r="N32">
        <v>0.5</v>
      </c>
      <c r="O32">
        <v>9</v>
      </c>
      <c r="P32">
        <v>5</v>
      </c>
    </row>
    <row r="33" spans="1:16" ht="15" thickBot="1" x14ac:dyDescent="0.35">
      <c r="A33" s="20"/>
      <c r="B33" s="20"/>
      <c r="C33" s="20"/>
      <c r="G33" s="5">
        <v>38930</v>
      </c>
      <c r="H33">
        <v>1</v>
      </c>
      <c r="I33">
        <v>0.5</v>
      </c>
      <c r="J33">
        <v>1</v>
      </c>
      <c r="K33">
        <v>0</v>
      </c>
      <c r="L33">
        <v>0.5</v>
      </c>
      <c r="M33">
        <v>0.5</v>
      </c>
      <c r="N33">
        <v>0.5</v>
      </c>
      <c r="O33">
        <v>11</v>
      </c>
      <c r="P33">
        <v>8</v>
      </c>
    </row>
    <row r="34" spans="1:16" ht="15" thickBot="1" x14ac:dyDescent="0.35">
      <c r="A34" s="8">
        <v>3</v>
      </c>
      <c r="B34" s="28" t="s">
        <v>29</v>
      </c>
      <c r="C34" s="29"/>
      <c r="G34" s="5">
        <v>38961</v>
      </c>
      <c r="H34">
        <v>1</v>
      </c>
      <c r="I34">
        <v>1</v>
      </c>
      <c r="J34">
        <v>1</v>
      </c>
      <c r="K34">
        <v>0</v>
      </c>
      <c r="L34">
        <v>0.5</v>
      </c>
      <c r="M34">
        <v>1</v>
      </c>
      <c r="N34">
        <v>1</v>
      </c>
      <c r="O34">
        <v>15</v>
      </c>
      <c r="P34">
        <v>11</v>
      </c>
    </row>
    <row r="35" spans="1:16" ht="15" thickBot="1" x14ac:dyDescent="0.35">
      <c r="A35" s="8">
        <v>4</v>
      </c>
      <c r="B35" s="30" t="s">
        <v>30</v>
      </c>
      <c r="C35" s="31"/>
      <c r="G35" s="5">
        <v>38991</v>
      </c>
      <c r="H35">
        <v>1</v>
      </c>
      <c r="I35">
        <v>1</v>
      </c>
      <c r="J35">
        <v>1</v>
      </c>
      <c r="K35">
        <v>0</v>
      </c>
      <c r="L35">
        <v>0.5</v>
      </c>
      <c r="M35">
        <v>1</v>
      </c>
      <c r="N35">
        <v>0.5</v>
      </c>
      <c r="O35">
        <v>19</v>
      </c>
      <c r="P35">
        <v>16</v>
      </c>
    </row>
    <row r="36" spans="1:16" ht="14.4" customHeight="1" x14ac:dyDescent="0.3">
      <c r="A36" s="19" t="s">
        <v>31</v>
      </c>
      <c r="B36" s="19"/>
      <c r="C36" s="19"/>
      <c r="G36" s="5">
        <v>39022</v>
      </c>
      <c r="H36">
        <v>2</v>
      </c>
      <c r="I36">
        <v>1</v>
      </c>
      <c r="J36">
        <v>1</v>
      </c>
      <c r="K36">
        <v>0</v>
      </c>
      <c r="L36">
        <v>0.5</v>
      </c>
      <c r="M36">
        <v>1</v>
      </c>
      <c r="N36">
        <v>1</v>
      </c>
      <c r="O36">
        <v>21</v>
      </c>
      <c r="P36">
        <v>22</v>
      </c>
    </row>
    <row r="37" spans="1:16" x14ac:dyDescent="0.3">
      <c r="A37" s="20"/>
      <c r="B37" s="20"/>
      <c r="C37" s="20"/>
      <c r="G37" s="5">
        <v>39052</v>
      </c>
      <c r="H37">
        <v>1</v>
      </c>
      <c r="I37">
        <v>1</v>
      </c>
      <c r="J37">
        <v>1</v>
      </c>
      <c r="K37">
        <v>0.5</v>
      </c>
      <c r="L37">
        <v>0.5</v>
      </c>
      <c r="M37">
        <v>2</v>
      </c>
      <c r="N37">
        <v>1</v>
      </c>
      <c r="O37">
        <v>24</v>
      </c>
      <c r="P37">
        <v>29</v>
      </c>
    </row>
    <row r="38" spans="1:16" x14ac:dyDescent="0.3">
      <c r="A38" s="20"/>
      <c r="B38" s="20"/>
      <c r="C38" s="20"/>
      <c r="G38" s="5">
        <v>39083</v>
      </c>
      <c r="H38">
        <v>2</v>
      </c>
      <c r="I38">
        <v>1</v>
      </c>
      <c r="J38">
        <v>1</v>
      </c>
      <c r="K38">
        <v>0.5</v>
      </c>
      <c r="L38">
        <v>0.5</v>
      </c>
      <c r="M38">
        <v>2</v>
      </c>
      <c r="N38">
        <v>1</v>
      </c>
      <c r="O38">
        <v>22</v>
      </c>
      <c r="P38">
        <v>23</v>
      </c>
    </row>
    <row r="39" spans="1:16" x14ac:dyDescent="0.3">
      <c r="A39" s="20"/>
      <c r="B39" s="20"/>
      <c r="C39" s="20"/>
      <c r="G39" s="5">
        <v>39114</v>
      </c>
      <c r="H39">
        <v>2</v>
      </c>
      <c r="I39">
        <v>1</v>
      </c>
      <c r="J39">
        <v>1</v>
      </c>
      <c r="K39">
        <v>0.5</v>
      </c>
      <c r="L39">
        <v>0.5</v>
      </c>
      <c r="M39">
        <v>2</v>
      </c>
      <c r="N39">
        <v>1</v>
      </c>
      <c r="O39">
        <v>24</v>
      </c>
      <c r="P39">
        <v>21</v>
      </c>
    </row>
    <row r="40" spans="1:16" ht="15" thickBot="1" x14ac:dyDescent="0.35">
      <c r="A40" s="20"/>
      <c r="B40" s="20"/>
      <c r="C40" s="20"/>
      <c r="G40" s="5">
        <v>39142</v>
      </c>
      <c r="H40">
        <v>2</v>
      </c>
      <c r="I40">
        <v>1</v>
      </c>
      <c r="J40">
        <v>1</v>
      </c>
      <c r="K40">
        <v>0</v>
      </c>
      <c r="L40">
        <v>0.5</v>
      </c>
      <c r="M40">
        <v>1</v>
      </c>
      <c r="N40">
        <v>1</v>
      </c>
      <c r="O40">
        <v>22</v>
      </c>
      <c r="P40">
        <v>12</v>
      </c>
    </row>
    <row r="41" spans="1:16" ht="14.4" customHeight="1" x14ac:dyDescent="0.3">
      <c r="A41" s="32">
        <v>5</v>
      </c>
      <c r="B41" s="34" t="s">
        <v>32</v>
      </c>
      <c r="C41" s="35"/>
      <c r="G41" s="5">
        <v>39173</v>
      </c>
      <c r="H41">
        <v>1</v>
      </c>
      <c r="I41">
        <v>0.5</v>
      </c>
      <c r="J41">
        <v>1</v>
      </c>
      <c r="K41">
        <v>0</v>
      </c>
      <c r="L41">
        <v>0.5</v>
      </c>
      <c r="M41">
        <v>0.5</v>
      </c>
      <c r="N41">
        <v>1</v>
      </c>
      <c r="O41">
        <v>15</v>
      </c>
      <c r="P41">
        <v>6</v>
      </c>
    </row>
    <row r="42" spans="1:16" ht="15" thickBot="1" x14ac:dyDescent="0.35">
      <c r="A42" s="33"/>
      <c r="B42" s="36"/>
      <c r="C42" s="37"/>
      <c r="G42" s="5">
        <v>39203</v>
      </c>
      <c r="H42">
        <v>1</v>
      </c>
      <c r="I42">
        <v>1</v>
      </c>
      <c r="J42">
        <v>1</v>
      </c>
      <c r="K42">
        <v>0</v>
      </c>
      <c r="L42">
        <v>0.5</v>
      </c>
      <c r="M42">
        <v>0.5</v>
      </c>
      <c r="N42">
        <v>0.5</v>
      </c>
      <c r="O42">
        <v>12</v>
      </c>
      <c r="P42">
        <v>5</v>
      </c>
    </row>
    <row r="43" spans="1:16" ht="14.4" customHeight="1" x14ac:dyDescent="0.3">
      <c r="A43" s="19" t="s">
        <v>33</v>
      </c>
      <c r="B43" s="19"/>
      <c r="C43" s="19"/>
      <c r="G43" s="5">
        <v>39234</v>
      </c>
      <c r="H43">
        <v>1</v>
      </c>
      <c r="I43">
        <v>1</v>
      </c>
      <c r="J43">
        <v>1</v>
      </c>
      <c r="K43">
        <v>0</v>
      </c>
      <c r="L43">
        <v>0.5</v>
      </c>
      <c r="M43">
        <v>0.5</v>
      </c>
      <c r="N43">
        <v>0.5</v>
      </c>
      <c r="O43">
        <v>10</v>
      </c>
      <c r="P43">
        <v>4</v>
      </c>
    </row>
    <row r="44" spans="1:16" x14ac:dyDescent="0.3">
      <c r="A44" s="20"/>
      <c r="B44" s="20"/>
      <c r="C44" s="20"/>
      <c r="G44" s="5">
        <v>39264</v>
      </c>
      <c r="H44">
        <v>1</v>
      </c>
      <c r="I44">
        <v>1</v>
      </c>
      <c r="J44">
        <v>1</v>
      </c>
      <c r="K44">
        <v>0.5</v>
      </c>
      <c r="L44">
        <v>0.5</v>
      </c>
      <c r="M44">
        <v>0.5</v>
      </c>
      <c r="N44">
        <v>0.5</v>
      </c>
      <c r="O44">
        <v>9</v>
      </c>
      <c r="P44">
        <v>5</v>
      </c>
    </row>
    <row r="45" spans="1:16" x14ac:dyDescent="0.3">
      <c r="A45" s="20"/>
      <c r="B45" s="20"/>
      <c r="C45" s="20"/>
      <c r="G45" s="5">
        <v>39295</v>
      </c>
      <c r="H45">
        <v>1</v>
      </c>
      <c r="I45">
        <v>1</v>
      </c>
      <c r="J45">
        <v>1</v>
      </c>
      <c r="K45">
        <v>0.5</v>
      </c>
      <c r="L45">
        <v>0.5</v>
      </c>
      <c r="M45">
        <v>0.5</v>
      </c>
      <c r="N45">
        <v>0.5</v>
      </c>
      <c r="O45">
        <v>11</v>
      </c>
      <c r="P45">
        <v>7</v>
      </c>
    </row>
    <row r="46" spans="1:16" ht="15" thickBot="1" x14ac:dyDescent="0.35">
      <c r="A46" s="20"/>
      <c r="B46" s="20"/>
      <c r="C46" s="20"/>
      <c r="G46" s="5">
        <v>39326</v>
      </c>
      <c r="H46">
        <v>1</v>
      </c>
      <c r="I46">
        <v>1</v>
      </c>
      <c r="J46">
        <v>1</v>
      </c>
      <c r="K46">
        <v>0</v>
      </c>
      <c r="L46">
        <v>0.5</v>
      </c>
      <c r="M46">
        <v>1</v>
      </c>
      <c r="N46">
        <v>0.5</v>
      </c>
      <c r="O46">
        <v>14</v>
      </c>
      <c r="P46">
        <v>10</v>
      </c>
    </row>
    <row r="47" spans="1:16" ht="15" thickBot="1" x14ac:dyDescent="0.35">
      <c r="A47" s="8">
        <v>6</v>
      </c>
      <c r="B47" s="30" t="s">
        <v>34</v>
      </c>
      <c r="C47" s="31"/>
      <c r="G47" s="5">
        <v>39356</v>
      </c>
      <c r="H47">
        <v>1</v>
      </c>
      <c r="I47">
        <v>1</v>
      </c>
      <c r="J47">
        <v>1</v>
      </c>
      <c r="K47">
        <v>0</v>
      </c>
      <c r="L47">
        <v>0.5</v>
      </c>
      <c r="M47">
        <v>1</v>
      </c>
      <c r="N47">
        <v>0.5</v>
      </c>
      <c r="O47">
        <v>18</v>
      </c>
      <c r="P47">
        <v>14</v>
      </c>
    </row>
    <row r="48" spans="1:16" ht="14.4" customHeight="1" x14ac:dyDescent="0.3">
      <c r="A48" s="19" t="s">
        <v>35</v>
      </c>
      <c r="B48" s="19"/>
      <c r="C48" s="19"/>
      <c r="G48" s="5">
        <v>39387</v>
      </c>
      <c r="H48">
        <v>1</v>
      </c>
      <c r="I48">
        <v>1</v>
      </c>
      <c r="J48">
        <v>1</v>
      </c>
      <c r="K48">
        <v>0.5</v>
      </c>
      <c r="L48">
        <v>0.5</v>
      </c>
      <c r="M48">
        <v>1</v>
      </c>
      <c r="N48">
        <v>1</v>
      </c>
      <c r="O48">
        <v>21</v>
      </c>
      <c r="P48">
        <v>19</v>
      </c>
    </row>
    <row r="49" spans="1:16" x14ac:dyDescent="0.3">
      <c r="A49" s="20"/>
      <c r="B49" s="20"/>
      <c r="C49" s="20"/>
      <c r="G49" s="5">
        <v>39417</v>
      </c>
      <c r="H49">
        <v>2</v>
      </c>
      <c r="I49">
        <v>1</v>
      </c>
      <c r="J49">
        <v>1</v>
      </c>
      <c r="K49">
        <v>0.5</v>
      </c>
      <c r="L49">
        <v>0.5</v>
      </c>
      <c r="M49">
        <v>2</v>
      </c>
      <c r="N49">
        <v>1</v>
      </c>
      <c r="O49">
        <v>22</v>
      </c>
      <c r="P49">
        <v>28</v>
      </c>
    </row>
    <row r="50" spans="1:16" x14ac:dyDescent="0.3">
      <c r="A50" s="20"/>
      <c r="B50" s="20"/>
      <c r="C50" s="20"/>
      <c r="G50" s="5">
        <v>39448</v>
      </c>
      <c r="H50">
        <v>2</v>
      </c>
      <c r="I50">
        <v>1</v>
      </c>
      <c r="J50">
        <v>1</v>
      </c>
      <c r="K50">
        <v>0</v>
      </c>
      <c r="L50">
        <v>0.5</v>
      </c>
      <c r="M50">
        <v>2</v>
      </c>
      <c r="N50">
        <v>1</v>
      </c>
      <c r="O50">
        <v>22</v>
      </c>
      <c r="P50">
        <v>23</v>
      </c>
    </row>
    <row r="51" spans="1:16" x14ac:dyDescent="0.3">
      <c r="A51" s="20"/>
      <c r="B51" s="20"/>
      <c r="C51" s="20"/>
      <c r="G51" s="5">
        <v>39479</v>
      </c>
      <c r="H51">
        <v>2</v>
      </c>
      <c r="I51">
        <v>1</v>
      </c>
      <c r="J51">
        <v>1</v>
      </c>
      <c r="K51">
        <v>0.5</v>
      </c>
      <c r="L51">
        <v>0.5</v>
      </c>
      <c r="M51">
        <v>2</v>
      </c>
      <c r="N51">
        <v>1</v>
      </c>
      <c r="O51">
        <v>23</v>
      </c>
      <c r="P51">
        <v>18</v>
      </c>
    </row>
    <row r="52" spans="1:16" x14ac:dyDescent="0.3">
      <c r="A52" s="20"/>
      <c r="B52" s="20"/>
      <c r="C52" s="20"/>
      <c r="G52" s="5">
        <v>39508</v>
      </c>
      <c r="H52">
        <v>2</v>
      </c>
      <c r="I52">
        <v>0.5</v>
      </c>
      <c r="J52">
        <v>1</v>
      </c>
      <c r="K52">
        <v>0.5</v>
      </c>
      <c r="L52">
        <v>0.5</v>
      </c>
      <c r="M52">
        <v>1</v>
      </c>
      <c r="N52">
        <v>1</v>
      </c>
      <c r="O52">
        <v>21</v>
      </c>
      <c r="P52">
        <v>11</v>
      </c>
    </row>
    <row r="53" spans="1:16" ht="15" thickBot="1" x14ac:dyDescent="0.35">
      <c r="G53" s="5">
        <v>39539</v>
      </c>
      <c r="H53">
        <v>1</v>
      </c>
      <c r="I53">
        <v>1</v>
      </c>
      <c r="J53">
        <v>1</v>
      </c>
      <c r="K53">
        <v>0</v>
      </c>
      <c r="L53">
        <v>0.5</v>
      </c>
      <c r="M53">
        <v>0.5</v>
      </c>
      <c r="N53">
        <v>0.5</v>
      </c>
      <c r="O53">
        <v>15</v>
      </c>
      <c r="P53">
        <v>5</v>
      </c>
    </row>
    <row r="54" spans="1:16" ht="15" thickBot="1" x14ac:dyDescent="0.35">
      <c r="A54" s="21" t="s">
        <v>36</v>
      </c>
      <c r="B54" s="21"/>
      <c r="C54" s="21"/>
      <c r="G54" s="5">
        <v>39569</v>
      </c>
      <c r="H54">
        <v>1</v>
      </c>
      <c r="I54">
        <v>0.5</v>
      </c>
      <c r="J54">
        <v>1</v>
      </c>
      <c r="K54">
        <v>0.5</v>
      </c>
      <c r="L54">
        <v>0.5</v>
      </c>
      <c r="M54">
        <v>0.5</v>
      </c>
      <c r="N54">
        <v>0.5</v>
      </c>
      <c r="O54">
        <v>12</v>
      </c>
      <c r="P54">
        <v>4</v>
      </c>
    </row>
    <row r="55" spans="1:16" ht="15" thickBot="1" x14ac:dyDescent="0.35">
      <c r="A55" s="21"/>
      <c r="B55" s="21"/>
      <c r="C55" s="21"/>
      <c r="G55" s="5">
        <v>39600</v>
      </c>
      <c r="H55">
        <v>1</v>
      </c>
      <c r="I55">
        <v>1</v>
      </c>
      <c r="J55">
        <v>1</v>
      </c>
      <c r="K55">
        <v>0</v>
      </c>
      <c r="L55">
        <v>0.5</v>
      </c>
      <c r="M55">
        <v>0.5</v>
      </c>
      <c r="N55">
        <v>0.5</v>
      </c>
      <c r="O55">
        <v>10</v>
      </c>
      <c r="P55">
        <v>4</v>
      </c>
    </row>
    <row r="56" spans="1:16" x14ac:dyDescent="0.3">
      <c r="A56" s="22">
        <v>7</v>
      </c>
      <c r="B56" s="38" t="s">
        <v>37</v>
      </c>
      <c r="C56" s="39"/>
      <c r="G56" s="5">
        <v>39630</v>
      </c>
      <c r="H56">
        <v>1</v>
      </c>
      <c r="I56">
        <v>0.5</v>
      </c>
      <c r="J56">
        <v>1</v>
      </c>
      <c r="K56">
        <v>0</v>
      </c>
      <c r="L56">
        <v>0.5</v>
      </c>
      <c r="M56">
        <v>0.5</v>
      </c>
      <c r="N56">
        <v>0.5</v>
      </c>
      <c r="O56">
        <v>9</v>
      </c>
      <c r="P56">
        <v>4</v>
      </c>
    </row>
    <row r="57" spans="1:16" ht="15" thickBot="1" x14ac:dyDescent="0.35">
      <c r="A57" s="23"/>
      <c r="B57" s="40"/>
      <c r="C57" s="41"/>
      <c r="G57" s="5">
        <v>39661</v>
      </c>
      <c r="H57">
        <v>1</v>
      </c>
      <c r="I57">
        <v>1</v>
      </c>
      <c r="J57">
        <v>1</v>
      </c>
      <c r="K57">
        <v>0.5</v>
      </c>
      <c r="L57">
        <v>0.5</v>
      </c>
      <c r="M57">
        <v>0.5</v>
      </c>
      <c r="N57">
        <v>1</v>
      </c>
      <c r="O57">
        <v>11</v>
      </c>
      <c r="P57">
        <v>6</v>
      </c>
    </row>
    <row r="58" spans="1:16" x14ac:dyDescent="0.3">
      <c r="A58" s="6"/>
      <c r="B58" s="6"/>
      <c r="C58" s="6"/>
      <c r="G58" s="5">
        <v>39692</v>
      </c>
      <c r="H58">
        <v>1</v>
      </c>
      <c r="I58">
        <v>0.5</v>
      </c>
      <c r="J58">
        <v>1</v>
      </c>
      <c r="K58">
        <v>0.5</v>
      </c>
      <c r="L58">
        <v>0.5</v>
      </c>
      <c r="M58">
        <v>0.5</v>
      </c>
      <c r="N58">
        <v>0.5</v>
      </c>
      <c r="O58">
        <v>14</v>
      </c>
      <c r="P58">
        <v>9</v>
      </c>
    </row>
    <row r="59" spans="1:16" x14ac:dyDescent="0.3">
      <c r="A59" s="6"/>
      <c r="B59" s="6"/>
      <c r="C59" s="6"/>
      <c r="G59" s="5">
        <v>39722</v>
      </c>
      <c r="H59">
        <v>1</v>
      </c>
      <c r="I59">
        <v>1</v>
      </c>
      <c r="J59">
        <v>1</v>
      </c>
      <c r="K59">
        <v>0.5</v>
      </c>
      <c r="L59">
        <v>0.5</v>
      </c>
      <c r="M59">
        <v>1</v>
      </c>
      <c r="N59">
        <v>0.5</v>
      </c>
      <c r="O59">
        <v>17</v>
      </c>
      <c r="P59">
        <v>13</v>
      </c>
    </row>
    <row r="60" spans="1:16" x14ac:dyDescent="0.3">
      <c r="A60" s="6"/>
      <c r="B60" s="6"/>
      <c r="C60" s="6"/>
      <c r="G60" s="5">
        <v>39753</v>
      </c>
      <c r="H60">
        <v>1</v>
      </c>
      <c r="I60">
        <v>0.5</v>
      </c>
      <c r="J60">
        <v>1</v>
      </c>
      <c r="K60">
        <v>0.5</v>
      </c>
      <c r="L60">
        <v>0.5</v>
      </c>
      <c r="M60">
        <v>1</v>
      </c>
      <c r="N60">
        <v>0.5</v>
      </c>
      <c r="O60">
        <v>20</v>
      </c>
      <c r="P60">
        <v>20</v>
      </c>
    </row>
    <row r="61" spans="1:16" x14ac:dyDescent="0.3">
      <c r="A61" s="6"/>
      <c r="B61" s="6"/>
      <c r="C61" s="6"/>
      <c r="G61" s="5">
        <v>39783</v>
      </c>
      <c r="H61">
        <v>1</v>
      </c>
      <c r="I61">
        <v>1</v>
      </c>
      <c r="J61">
        <v>1</v>
      </c>
      <c r="K61">
        <v>0.5</v>
      </c>
      <c r="L61">
        <v>0.5</v>
      </c>
      <c r="M61">
        <v>1</v>
      </c>
      <c r="N61">
        <v>0.5</v>
      </c>
      <c r="O61">
        <v>19</v>
      </c>
      <c r="P61">
        <v>28</v>
      </c>
    </row>
    <row r="62" spans="1:16" x14ac:dyDescent="0.3">
      <c r="A62" s="6"/>
      <c r="B62" s="6"/>
      <c r="C62" s="6"/>
      <c r="G62" s="5">
        <v>39814</v>
      </c>
      <c r="H62">
        <v>1</v>
      </c>
      <c r="I62">
        <v>0.5</v>
      </c>
      <c r="J62">
        <v>1</v>
      </c>
      <c r="K62">
        <v>0.5</v>
      </c>
      <c r="L62">
        <v>0.5</v>
      </c>
      <c r="M62">
        <v>2</v>
      </c>
      <c r="N62">
        <v>1</v>
      </c>
      <c r="O62">
        <v>20</v>
      </c>
      <c r="P62">
        <v>23</v>
      </c>
    </row>
    <row r="63" spans="1:16" x14ac:dyDescent="0.3">
      <c r="A63" s="6"/>
      <c r="B63" s="6"/>
      <c r="C63" s="6"/>
      <c r="G63" s="5">
        <v>39845</v>
      </c>
      <c r="H63">
        <v>3</v>
      </c>
      <c r="I63">
        <v>1</v>
      </c>
      <c r="J63">
        <v>1</v>
      </c>
      <c r="K63">
        <v>0.5</v>
      </c>
      <c r="L63">
        <v>0.5</v>
      </c>
      <c r="M63">
        <v>1</v>
      </c>
      <c r="N63">
        <v>1</v>
      </c>
      <c r="O63">
        <v>20</v>
      </c>
      <c r="P63">
        <v>18</v>
      </c>
    </row>
    <row r="64" spans="1:16" x14ac:dyDescent="0.3">
      <c r="A64" s="6"/>
      <c r="B64" s="6"/>
      <c r="C64" s="6"/>
      <c r="G64" s="5">
        <v>39873</v>
      </c>
      <c r="H64">
        <v>2</v>
      </c>
      <c r="I64">
        <v>0.5</v>
      </c>
      <c r="J64">
        <v>1</v>
      </c>
      <c r="K64">
        <v>0.5</v>
      </c>
      <c r="L64">
        <v>0.5</v>
      </c>
      <c r="M64">
        <v>1</v>
      </c>
      <c r="N64">
        <v>0.5</v>
      </c>
      <c r="O64">
        <v>20</v>
      </c>
      <c r="P64">
        <v>11</v>
      </c>
    </row>
    <row r="65" spans="1:16" x14ac:dyDescent="0.3">
      <c r="A65" s="6"/>
      <c r="B65" s="6"/>
      <c r="C65" s="6"/>
      <c r="G65" s="5">
        <v>39904</v>
      </c>
      <c r="H65">
        <v>2</v>
      </c>
      <c r="I65">
        <v>0.5</v>
      </c>
      <c r="J65">
        <v>1</v>
      </c>
      <c r="K65">
        <v>0.5</v>
      </c>
      <c r="L65">
        <v>0.5</v>
      </c>
      <c r="M65">
        <v>0.5</v>
      </c>
      <c r="N65">
        <v>0.5</v>
      </c>
      <c r="O65">
        <v>13</v>
      </c>
      <c r="P65">
        <v>5</v>
      </c>
    </row>
    <row r="66" spans="1:16" x14ac:dyDescent="0.3">
      <c r="A66" s="6"/>
      <c r="B66" s="6"/>
      <c r="C66" s="6"/>
      <c r="G66" s="5">
        <v>39934</v>
      </c>
      <c r="H66">
        <v>0.5</v>
      </c>
      <c r="I66">
        <v>0.5</v>
      </c>
      <c r="J66">
        <v>1</v>
      </c>
      <c r="K66">
        <v>0.5</v>
      </c>
      <c r="L66">
        <v>0.5</v>
      </c>
      <c r="M66">
        <v>0.5</v>
      </c>
      <c r="N66">
        <v>1</v>
      </c>
      <c r="O66">
        <v>13</v>
      </c>
      <c r="P66">
        <v>4</v>
      </c>
    </row>
    <row r="67" spans="1:16" x14ac:dyDescent="0.3">
      <c r="A67" s="6"/>
      <c r="B67" s="6"/>
      <c r="C67" s="6"/>
      <c r="G67" s="5">
        <v>39965</v>
      </c>
      <c r="H67">
        <v>0.5</v>
      </c>
      <c r="I67">
        <v>0.5</v>
      </c>
      <c r="J67">
        <v>1</v>
      </c>
      <c r="K67">
        <v>0.5</v>
      </c>
      <c r="L67">
        <v>0.5</v>
      </c>
      <c r="M67">
        <v>0.5</v>
      </c>
      <c r="N67">
        <v>1</v>
      </c>
      <c r="O67">
        <v>10</v>
      </c>
      <c r="P67">
        <v>4</v>
      </c>
    </row>
    <row r="68" spans="1:16" x14ac:dyDescent="0.3">
      <c r="A68" s="6"/>
      <c r="B68" s="6"/>
      <c r="C68" s="6"/>
      <c r="G68" s="5">
        <v>39995</v>
      </c>
      <c r="H68">
        <v>1</v>
      </c>
      <c r="I68">
        <v>0.5</v>
      </c>
      <c r="J68">
        <v>0.5</v>
      </c>
      <c r="K68">
        <v>0.5</v>
      </c>
      <c r="L68">
        <v>0.5</v>
      </c>
      <c r="M68">
        <v>0.5</v>
      </c>
      <c r="N68">
        <v>0.5</v>
      </c>
      <c r="O68">
        <v>9</v>
      </c>
      <c r="P68">
        <v>4</v>
      </c>
    </row>
    <row r="69" spans="1:16" x14ac:dyDescent="0.3">
      <c r="A69" s="6"/>
      <c r="B69" s="6"/>
      <c r="C69" s="6"/>
      <c r="G69" s="5">
        <v>40026</v>
      </c>
      <c r="H69">
        <v>1</v>
      </c>
      <c r="I69">
        <v>1</v>
      </c>
      <c r="J69">
        <v>1</v>
      </c>
      <c r="K69">
        <v>0</v>
      </c>
      <c r="L69">
        <v>0.5</v>
      </c>
      <c r="M69">
        <v>0.5</v>
      </c>
      <c r="N69">
        <v>0.5</v>
      </c>
      <c r="O69">
        <v>10</v>
      </c>
      <c r="P69">
        <v>6</v>
      </c>
    </row>
    <row r="70" spans="1:16" x14ac:dyDescent="0.3">
      <c r="A70" s="6"/>
      <c r="B70" s="6"/>
      <c r="C70" s="6"/>
      <c r="G70" s="5">
        <v>40057</v>
      </c>
      <c r="H70">
        <v>1</v>
      </c>
      <c r="I70">
        <v>0.5</v>
      </c>
      <c r="J70">
        <v>1</v>
      </c>
      <c r="K70">
        <v>0</v>
      </c>
      <c r="L70">
        <v>0.5</v>
      </c>
      <c r="M70">
        <v>0.5</v>
      </c>
      <c r="N70">
        <v>0.5</v>
      </c>
      <c r="O70">
        <v>13</v>
      </c>
      <c r="P70">
        <v>8</v>
      </c>
    </row>
    <row r="71" spans="1:16" x14ac:dyDescent="0.3">
      <c r="A71" s="6"/>
      <c r="B71" s="6"/>
      <c r="C71" s="6"/>
      <c r="G71" s="5">
        <v>40087</v>
      </c>
      <c r="H71">
        <v>1</v>
      </c>
      <c r="I71">
        <v>1</v>
      </c>
      <c r="J71">
        <v>1</v>
      </c>
      <c r="K71">
        <v>0.5</v>
      </c>
      <c r="L71">
        <v>0.5</v>
      </c>
      <c r="M71">
        <v>1</v>
      </c>
      <c r="N71">
        <v>1</v>
      </c>
      <c r="O71">
        <v>17</v>
      </c>
      <c r="P71">
        <v>12</v>
      </c>
    </row>
    <row r="72" spans="1:16" x14ac:dyDescent="0.3">
      <c r="A72" s="6"/>
      <c r="B72" s="6"/>
      <c r="C72" s="6"/>
      <c r="G72" s="5">
        <v>40118</v>
      </c>
      <c r="H72">
        <v>1</v>
      </c>
      <c r="I72">
        <v>1</v>
      </c>
      <c r="J72">
        <v>1</v>
      </c>
      <c r="K72">
        <v>0.5</v>
      </c>
      <c r="L72">
        <v>0.5</v>
      </c>
      <c r="M72">
        <v>1</v>
      </c>
      <c r="N72">
        <v>1</v>
      </c>
      <c r="O72">
        <v>18</v>
      </c>
      <c r="P72">
        <v>15</v>
      </c>
    </row>
    <row r="73" spans="1:16" x14ac:dyDescent="0.3">
      <c r="A73" s="6"/>
      <c r="B73" s="6"/>
      <c r="C73" s="6"/>
      <c r="G73" s="5">
        <v>40148</v>
      </c>
      <c r="H73">
        <v>2</v>
      </c>
      <c r="I73">
        <v>1</v>
      </c>
      <c r="J73">
        <v>2</v>
      </c>
      <c r="K73">
        <v>0.5</v>
      </c>
      <c r="L73">
        <v>1</v>
      </c>
      <c r="M73">
        <v>2</v>
      </c>
      <c r="N73">
        <v>1</v>
      </c>
      <c r="O73">
        <v>19</v>
      </c>
      <c r="P73">
        <v>23</v>
      </c>
    </row>
    <row r="74" spans="1:16" x14ac:dyDescent="0.3">
      <c r="A74" s="6"/>
      <c r="B74" s="6"/>
      <c r="C74" s="6"/>
      <c r="G74" s="5">
        <v>40179</v>
      </c>
      <c r="H74">
        <v>3</v>
      </c>
      <c r="I74">
        <v>1</v>
      </c>
      <c r="J74">
        <v>2</v>
      </c>
      <c r="K74">
        <v>0.5</v>
      </c>
      <c r="L74">
        <v>1</v>
      </c>
      <c r="M74">
        <v>2</v>
      </c>
      <c r="N74">
        <v>3</v>
      </c>
      <c r="O74">
        <v>20</v>
      </c>
      <c r="P74">
        <v>25</v>
      </c>
    </row>
    <row r="75" spans="1:16" ht="15" thickBot="1" x14ac:dyDescent="0.35">
      <c r="A75" s="6"/>
      <c r="B75" s="6"/>
      <c r="C75" s="6"/>
      <c r="G75" s="5">
        <v>40210</v>
      </c>
      <c r="H75">
        <v>86</v>
      </c>
      <c r="I75">
        <v>100</v>
      </c>
      <c r="J75">
        <v>19</v>
      </c>
      <c r="K75">
        <v>3</v>
      </c>
      <c r="L75">
        <v>6</v>
      </c>
      <c r="M75">
        <v>10</v>
      </c>
      <c r="N75">
        <v>19</v>
      </c>
      <c r="O75">
        <v>23</v>
      </c>
      <c r="P75">
        <v>54</v>
      </c>
    </row>
    <row r="76" spans="1:16" ht="15" thickBot="1" x14ac:dyDescent="0.35">
      <c r="A76" s="25">
        <v>8</v>
      </c>
      <c r="B76" s="42" t="s">
        <v>38</v>
      </c>
      <c r="C76" s="42"/>
      <c r="G76" s="5">
        <v>40238</v>
      </c>
      <c r="H76">
        <v>8</v>
      </c>
      <c r="I76">
        <v>3</v>
      </c>
      <c r="J76">
        <v>3</v>
      </c>
      <c r="K76">
        <v>0.5</v>
      </c>
      <c r="L76">
        <v>1</v>
      </c>
      <c r="M76">
        <v>1</v>
      </c>
      <c r="N76">
        <v>3</v>
      </c>
      <c r="O76">
        <v>20</v>
      </c>
      <c r="P76">
        <v>13</v>
      </c>
    </row>
    <row r="77" spans="1:16" ht="15" thickBot="1" x14ac:dyDescent="0.35">
      <c r="A77" s="25"/>
      <c r="B77" s="42"/>
      <c r="C77" s="42"/>
      <c r="G77" s="5">
        <v>40269</v>
      </c>
      <c r="H77">
        <v>2</v>
      </c>
      <c r="I77">
        <v>1</v>
      </c>
      <c r="J77">
        <v>1</v>
      </c>
      <c r="K77">
        <v>0.5</v>
      </c>
      <c r="L77">
        <v>0.5</v>
      </c>
      <c r="M77">
        <v>0.5</v>
      </c>
      <c r="N77">
        <v>1</v>
      </c>
      <c r="O77">
        <v>13</v>
      </c>
      <c r="P77">
        <v>5</v>
      </c>
    </row>
    <row r="78" spans="1:16" ht="15" thickBot="1" x14ac:dyDescent="0.35">
      <c r="A78" s="25"/>
      <c r="B78" s="42"/>
      <c r="C78" s="42"/>
      <c r="G78" s="5">
        <v>40299</v>
      </c>
      <c r="H78">
        <v>1</v>
      </c>
      <c r="I78">
        <v>1</v>
      </c>
      <c r="J78">
        <v>1</v>
      </c>
      <c r="K78">
        <v>0.5</v>
      </c>
      <c r="L78">
        <v>0.5</v>
      </c>
      <c r="M78">
        <v>0.5</v>
      </c>
      <c r="N78">
        <v>1</v>
      </c>
      <c r="O78">
        <v>12</v>
      </c>
      <c r="P78">
        <v>5</v>
      </c>
    </row>
    <row r="79" spans="1:16" ht="15" customHeight="1" x14ac:dyDescent="0.3">
      <c r="A79" s="19" t="s">
        <v>39</v>
      </c>
      <c r="B79" s="19"/>
      <c r="C79" s="19"/>
      <c r="G79" s="5">
        <v>40330</v>
      </c>
      <c r="H79">
        <v>1</v>
      </c>
      <c r="I79">
        <v>1</v>
      </c>
      <c r="J79">
        <v>0.5</v>
      </c>
      <c r="K79">
        <v>0.5</v>
      </c>
      <c r="L79">
        <v>0.5</v>
      </c>
      <c r="M79">
        <v>0.5</v>
      </c>
      <c r="N79">
        <v>0.5</v>
      </c>
      <c r="O79">
        <v>10</v>
      </c>
      <c r="P79">
        <v>3</v>
      </c>
    </row>
    <row r="80" spans="1:16" x14ac:dyDescent="0.3">
      <c r="A80" s="20"/>
      <c r="B80" s="20"/>
      <c r="C80" s="20"/>
      <c r="G80" s="5">
        <v>40360</v>
      </c>
      <c r="H80">
        <v>1</v>
      </c>
      <c r="I80">
        <v>0.5</v>
      </c>
      <c r="J80">
        <v>1</v>
      </c>
      <c r="K80">
        <v>0.5</v>
      </c>
      <c r="L80">
        <v>0.5</v>
      </c>
      <c r="M80">
        <v>0.5</v>
      </c>
      <c r="N80">
        <v>0.5</v>
      </c>
      <c r="O80">
        <v>8</v>
      </c>
      <c r="P80">
        <v>3</v>
      </c>
    </row>
    <row r="81" spans="1:16" x14ac:dyDescent="0.3">
      <c r="A81" s="20"/>
      <c r="B81" s="20"/>
      <c r="C81" s="20"/>
      <c r="G81" s="5">
        <v>40391</v>
      </c>
      <c r="H81">
        <v>1</v>
      </c>
      <c r="I81">
        <v>1</v>
      </c>
      <c r="J81">
        <v>0.5</v>
      </c>
      <c r="K81">
        <v>0.5</v>
      </c>
      <c r="L81">
        <v>0.5</v>
      </c>
      <c r="M81">
        <v>0.5</v>
      </c>
      <c r="N81">
        <v>0.5</v>
      </c>
      <c r="O81">
        <v>9</v>
      </c>
      <c r="P81">
        <v>4</v>
      </c>
    </row>
    <row r="82" spans="1:16" x14ac:dyDescent="0.3">
      <c r="A82" s="20"/>
      <c r="B82" s="20"/>
      <c r="C82" s="20"/>
      <c r="G82" s="5">
        <v>40422</v>
      </c>
      <c r="H82">
        <v>1</v>
      </c>
      <c r="I82">
        <v>0.5</v>
      </c>
      <c r="J82">
        <v>1</v>
      </c>
      <c r="K82">
        <v>0.5</v>
      </c>
      <c r="L82">
        <v>0.5</v>
      </c>
      <c r="M82">
        <v>0.5</v>
      </c>
      <c r="N82">
        <v>0.5</v>
      </c>
      <c r="O82">
        <v>12</v>
      </c>
      <c r="P82">
        <v>6</v>
      </c>
    </row>
    <row r="83" spans="1:16" x14ac:dyDescent="0.3">
      <c r="A83" s="20"/>
      <c r="B83" s="20"/>
      <c r="C83" s="20"/>
      <c r="G83" s="5">
        <v>40452</v>
      </c>
      <c r="H83">
        <v>1</v>
      </c>
      <c r="I83">
        <v>1</v>
      </c>
      <c r="J83">
        <v>1</v>
      </c>
      <c r="K83">
        <v>0</v>
      </c>
      <c r="L83">
        <v>0.5</v>
      </c>
      <c r="M83">
        <v>1</v>
      </c>
      <c r="N83">
        <v>1</v>
      </c>
      <c r="O83">
        <v>15</v>
      </c>
      <c r="P83">
        <v>8</v>
      </c>
    </row>
    <row r="84" spans="1:16" ht="15" thickBot="1" x14ac:dyDescent="0.35">
      <c r="A84" s="20"/>
      <c r="B84" s="20"/>
      <c r="C84" s="20"/>
      <c r="G84" s="5">
        <v>40483</v>
      </c>
      <c r="H84">
        <v>1</v>
      </c>
      <c r="I84">
        <v>0.5</v>
      </c>
      <c r="J84">
        <v>1</v>
      </c>
      <c r="K84">
        <v>0.5</v>
      </c>
      <c r="L84">
        <v>0.5</v>
      </c>
      <c r="M84">
        <v>1</v>
      </c>
      <c r="N84">
        <v>1</v>
      </c>
      <c r="O84">
        <v>16</v>
      </c>
      <c r="P84">
        <v>13</v>
      </c>
    </row>
    <row r="85" spans="1:16" ht="15" thickBot="1" x14ac:dyDescent="0.35">
      <c r="A85" s="25">
        <v>9</v>
      </c>
      <c r="B85" s="26" t="s">
        <v>40</v>
      </c>
      <c r="C85" s="26"/>
      <c r="G85" s="5">
        <v>40513</v>
      </c>
      <c r="H85">
        <v>1</v>
      </c>
      <c r="I85">
        <v>1</v>
      </c>
      <c r="J85">
        <v>1</v>
      </c>
      <c r="K85">
        <v>0.5</v>
      </c>
      <c r="L85">
        <v>1</v>
      </c>
      <c r="M85">
        <v>1</v>
      </c>
      <c r="N85">
        <v>1</v>
      </c>
      <c r="O85">
        <v>17</v>
      </c>
      <c r="P85">
        <v>21</v>
      </c>
    </row>
    <row r="86" spans="1:16" ht="15" thickBot="1" x14ac:dyDescent="0.35">
      <c r="A86" s="25"/>
      <c r="B86" s="26"/>
      <c r="C86" s="26"/>
      <c r="G86" s="5">
        <v>40544</v>
      </c>
      <c r="H86">
        <v>1</v>
      </c>
      <c r="I86">
        <v>1</v>
      </c>
      <c r="J86">
        <v>1</v>
      </c>
      <c r="K86">
        <v>0.5</v>
      </c>
      <c r="L86">
        <v>0.5</v>
      </c>
      <c r="M86">
        <v>1</v>
      </c>
      <c r="N86">
        <v>1</v>
      </c>
      <c r="O86">
        <v>23</v>
      </c>
      <c r="P86">
        <v>21</v>
      </c>
    </row>
    <row r="87" spans="1:16" x14ac:dyDescent="0.3">
      <c r="A87" s="6"/>
      <c r="B87" s="6"/>
      <c r="C87" s="6"/>
      <c r="G87" s="5">
        <v>40575</v>
      </c>
      <c r="H87">
        <v>2</v>
      </c>
      <c r="I87">
        <v>1</v>
      </c>
      <c r="J87">
        <v>1</v>
      </c>
      <c r="K87">
        <v>0.5</v>
      </c>
      <c r="L87">
        <v>1</v>
      </c>
      <c r="M87">
        <v>1</v>
      </c>
      <c r="N87">
        <v>1</v>
      </c>
      <c r="O87">
        <v>23</v>
      </c>
      <c r="P87">
        <v>12</v>
      </c>
    </row>
    <row r="88" spans="1:16" x14ac:dyDescent="0.3">
      <c r="A88" s="6"/>
      <c r="B88" s="6"/>
      <c r="C88" s="6"/>
      <c r="G88" s="5">
        <v>40603</v>
      </c>
      <c r="H88">
        <v>2</v>
      </c>
      <c r="I88">
        <v>1</v>
      </c>
      <c r="J88">
        <v>1</v>
      </c>
      <c r="K88">
        <v>0.5</v>
      </c>
      <c r="L88">
        <v>0.5</v>
      </c>
      <c r="M88">
        <v>1</v>
      </c>
      <c r="N88">
        <v>1</v>
      </c>
      <c r="O88">
        <v>22</v>
      </c>
      <c r="P88">
        <v>8</v>
      </c>
    </row>
    <row r="89" spans="1:16" x14ac:dyDescent="0.3">
      <c r="A89" s="6"/>
      <c r="B89" s="6"/>
      <c r="C89" s="6"/>
      <c r="G89" s="5">
        <v>40634</v>
      </c>
      <c r="H89">
        <v>1</v>
      </c>
      <c r="I89">
        <v>0.5</v>
      </c>
      <c r="J89">
        <v>0.5</v>
      </c>
      <c r="K89">
        <v>0.5</v>
      </c>
      <c r="L89">
        <v>0.5</v>
      </c>
      <c r="M89">
        <v>0.5</v>
      </c>
      <c r="N89">
        <v>1</v>
      </c>
      <c r="O89">
        <v>11</v>
      </c>
      <c r="P89">
        <v>4</v>
      </c>
    </row>
    <row r="90" spans="1:16" x14ac:dyDescent="0.3">
      <c r="A90" s="6"/>
      <c r="B90" s="6"/>
      <c r="C90" s="6"/>
      <c r="G90" s="5">
        <v>40664</v>
      </c>
      <c r="H90">
        <v>1</v>
      </c>
      <c r="I90">
        <v>0.5</v>
      </c>
      <c r="J90">
        <v>0.5</v>
      </c>
      <c r="K90">
        <v>0</v>
      </c>
      <c r="L90">
        <v>0.5</v>
      </c>
      <c r="M90">
        <v>0.5</v>
      </c>
      <c r="N90">
        <v>0.5</v>
      </c>
      <c r="O90">
        <v>10</v>
      </c>
      <c r="P90">
        <v>3</v>
      </c>
    </row>
    <row r="91" spans="1:16" x14ac:dyDescent="0.3">
      <c r="A91" s="6"/>
      <c r="B91" s="6"/>
      <c r="C91" s="6"/>
      <c r="G91" s="5">
        <v>40695</v>
      </c>
      <c r="H91">
        <v>1</v>
      </c>
      <c r="I91">
        <v>0.5</v>
      </c>
      <c r="J91">
        <v>0.5</v>
      </c>
      <c r="K91">
        <v>0</v>
      </c>
      <c r="L91">
        <v>0.5</v>
      </c>
      <c r="M91">
        <v>0.5</v>
      </c>
      <c r="N91">
        <v>1</v>
      </c>
      <c r="O91">
        <v>9</v>
      </c>
      <c r="P91">
        <v>3</v>
      </c>
    </row>
    <row r="92" spans="1:16" x14ac:dyDescent="0.3">
      <c r="A92" s="6"/>
      <c r="B92" s="6"/>
      <c r="C92" s="6"/>
      <c r="G92" s="5">
        <v>40725</v>
      </c>
      <c r="H92">
        <v>1</v>
      </c>
      <c r="I92">
        <v>1</v>
      </c>
      <c r="J92">
        <v>0.5</v>
      </c>
      <c r="K92">
        <v>0.5</v>
      </c>
      <c r="L92">
        <v>0.5</v>
      </c>
      <c r="M92">
        <v>0.5</v>
      </c>
      <c r="N92">
        <v>0.5</v>
      </c>
      <c r="O92">
        <v>7</v>
      </c>
      <c r="P92">
        <v>3</v>
      </c>
    </row>
    <row r="93" spans="1:16" x14ac:dyDescent="0.3">
      <c r="A93" s="6"/>
      <c r="B93" s="6"/>
      <c r="C93" s="6"/>
      <c r="G93" s="5">
        <v>40756</v>
      </c>
      <c r="H93">
        <v>1</v>
      </c>
      <c r="I93">
        <v>0.5</v>
      </c>
      <c r="J93">
        <v>0.5</v>
      </c>
      <c r="K93">
        <v>0</v>
      </c>
      <c r="L93">
        <v>0.5</v>
      </c>
      <c r="M93">
        <v>0.5</v>
      </c>
      <c r="N93">
        <v>1</v>
      </c>
      <c r="O93">
        <v>8</v>
      </c>
      <c r="P93">
        <v>4</v>
      </c>
    </row>
    <row r="94" spans="1:16" x14ac:dyDescent="0.3">
      <c r="A94" s="6"/>
      <c r="B94" s="6"/>
      <c r="C94" s="6"/>
      <c r="G94" s="5">
        <v>40787</v>
      </c>
      <c r="H94">
        <v>1</v>
      </c>
      <c r="I94">
        <v>0.5</v>
      </c>
      <c r="J94">
        <v>0.5</v>
      </c>
      <c r="K94">
        <v>0.5</v>
      </c>
      <c r="L94">
        <v>0.5</v>
      </c>
      <c r="M94">
        <v>0.5</v>
      </c>
      <c r="N94">
        <v>1</v>
      </c>
      <c r="O94">
        <v>11</v>
      </c>
      <c r="P94">
        <v>6</v>
      </c>
    </row>
    <row r="95" spans="1:16" x14ac:dyDescent="0.3">
      <c r="A95" s="6"/>
      <c r="B95" s="6"/>
      <c r="C95" s="6"/>
      <c r="G95" s="5">
        <v>40817</v>
      </c>
      <c r="H95">
        <v>1</v>
      </c>
      <c r="I95">
        <v>1</v>
      </c>
      <c r="J95">
        <v>0.5</v>
      </c>
      <c r="K95">
        <v>0.5</v>
      </c>
      <c r="L95">
        <v>0.5</v>
      </c>
      <c r="M95">
        <v>0.5</v>
      </c>
      <c r="N95">
        <v>1</v>
      </c>
      <c r="O95">
        <v>15</v>
      </c>
      <c r="P95">
        <v>8</v>
      </c>
    </row>
    <row r="96" spans="1:16" x14ac:dyDescent="0.3">
      <c r="A96" s="6"/>
      <c r="B96" s="6"/>
      <c r="C96" s="6"/>
      <c r="G96" s="5">
        <v>40848</v>
      </c>
      <c r="H96">
        <v>1</v>
      </c>
      <c r="I96">
        <v>1</v>
      </c>
      <c r="J96">
        <v>1</v>
      </c>
      <c r="K96">
        <v>0</v>
      </c>
      <c r="L96">
        <v>0.5</v>
      </c>
      <c r="M96">
        <v>1</v>
      </c>
      <c r="N96">
        <v>1</v>
      </c>
      <c r="O96">
        <v>19</v>
      </c>
      <c r="P96">
        <v>12</v>
      </c>
    </row>
    <row r="97" spans="1:16" x14ac:dyDescent="0.3">
      <c r="A97" s="6"/>
      <c r="B97" s="6"/>
      <c r="C97" s="6"/>
      <c r="G97" s="5">
        <v>40878</v>
      </c>
      <c r="H97">
        <v>1</v>
      </c>
      <c r="I97">
        <v>1</v>
      </c>
      <c r="J97">
        <v>1</v>
      </c>
      <c r="K97">
        <v>0.5</v>
      </c>
      <c r="L97">
        <v>0.5</v>
      </c>
      <c r="M97">
        <v>1</v>
      </c>
      <c r="N97">
        <v>1</v>
      </c>
      <c r="O97">
        <v>20</v>
      </c>
      <c r="P97">
        <v>16</v>
      </c>
    </row>
    <row r="98" spans="1:16" x14ac:dyDescent="0.3">
      <c r="A98" s="6"/>
      <c r="B98" s="6"/>
      <c r="C98" s="6"/>
      <c r="G98" s="5">
        <v>40909</v>
      </c>
      <c r="H98">
        <v>1</v>
      </c>
      <c r="I98">
        <v>1</v>
      </c>
      <c r="J98">
        <v>1</v>
      </c>
      <c r="K98">
        <v>0.5</v>
      </c>
      <c r="L98">
        <v>0.5</v>
      </c>
      <c r="M98">
        <v>1</v>
      </c>
      <c r="N98">
        <v>1</v>
      </c>
      <c r="O98">
        <v>23</v>
      </c>
      <c r="P98">
        <v>17</v>
      </c>
    </row>
    <row r="99" spans="1:16" x14ac:dyDescent="0.3">
      <c r="A99" s="6"/>
      <c r="B99" s="6"/>
      <c r="C99" s="6"/>
      <c r="G99" s="5">
        <v>40940</v>
      </c>
      <c r="H99">
        <v>2</v>
      </c>
      <c r="I99">
        <v>1</v>
      </c>
      <c r="J99">
        <v>1</v>
      </c>
      <c r="K99">
        <v>0.5</v>
      </c>
      <c r="L99">
        <v>0.5</v>
      </c>
      <c r="M99">
        <v>1</v>
      </c>
      <c r="N99">
        <v>1</v>
      </c>
      <c r="O99">
        <v>22</v>
      </c>
      <c r="P99">
        <v>10</v>
      </c>
    </row>
    <row r="100" spans="1:16" x14ac:dyDescent="0.3">
      <c r="A100" s="6"/>
      <c r="B100" s="6"/>
      <c r="C100" s="6"/>
      <c r="G100" s="5">
        <v>40969</v>
      </c>
      <c r="H100">
        <v>1</v>
      </c>
      <c r="I100">
        <v>1</v>
      </c>
      <c r="J100">
        <v>1</v>
      </c>
      <c r="K100">
        <v>0.5</v>
      </c>
      <c r="L100">
        <v>0.5</v>
      </c>
      <c r="M100">
        <v>1</v>
      </c>
      <c r="N100">
        <v>1</v>
      </c>
      <c r="O100">
        <v>21</v>
      </c>
      <c r="P100">
        <v>6</v>
      </c>
    </row>
    <row r="101" spans="1:16" x14ac:dyDescent="0.3">
      <c r="A101" s="6"/>
      <c r="B101" s="6"/>
      <c r="C101" s="6"/>
      <c r="G101" s="5">
        <v>41000</v>
      </c>
      <c r="H101">
        <v>1</v>
      </c>
      <c r="I101">
        <v>1</v>
      </c>
      <c r="J101">
        <v>0.5</v>
      </c>
      <c r="K101">
        <v>0.5</v>
      </c>
      <c r="L101">
        <v>0.5</v>
      </c>
      <c r="M101">
        <v>0.5</v>
      </c>
      <c r="N101">
        <v>1</v>
      </c>
      <c r="O101">
        <v>12</v>
      </c>
      <c r="P101">
        <v>3</v>
      </c>
    </row>
    <row r="102" spans="1:16" x14ac:dyDescent="0.3">
      <c r="A102" s="6"/>
      <c r="B102" s="6"/>
      <c r="C102" s="6"/>
      <c r="G102" s="5">
        <v>41030</v>
      </c>
      <c r="H102">
        <v>1</v>
      </c>
      <c r="I102">
        <v>0.5</v>
      </c>
      <c r="J102">
        <v>0.5</v>
      </c>
      <c r="K102">
        <v>0.5</v>
      </c>
      <c r="L102">
        <v>0.5</v>
      </c>
      <c r="M102">
        <v>0.5</v>
      </c>
      <c r="N102">
        <v>1</v>
      </c>
      <c r="O102">
        <v>10</v>
      </c>
      <c r="P102">
        <v>3</v>
      </c>
    </row>
    <row r="103" spans="1:16" x14ac:dyDescent="0.3">
      <c r="A103" s="6"/>
      <c r="B103" s="6"/>
      <c r="C103" s="6"/>
      <c r="G103" s="5">
        <v>41061</v>
      </c>
      <c r="H103">
        <v>1</v>
      </c>
      <c r="I103">
        <v>1</v>
      </c>
      <c r="J103">
        <v>0.5</v>
      </c>
      <c r="K103">
        <v>0.5</v>
      </c>
      <c r="L103">
        <v>0.5</v>
      </c>
      <c r="M103">
        <v>0.5</v>
      </c>
      <c r="N103">
        <v>1</v>
      </c>
      <c r="O103">
        <v>8</v>
      </c>
      <c r="P103">
        <v>2</v>
      </c>
    </row>
    <row r="104" spans="1:16" ht="15" thickBot="1" x14ac:dyDescent="0.35">
      <c r="A104" s="6"/>
      <c r="B104" s="6"/>
      <c r="C104" s="6"/>
      <c r="G104" s="5">
        <v>41091</v>
      </c>
      <c r="H104">
        <v>1</v>
      </c>
      <c r="I104">
        <v>1</v>
      </c>
      <c r="J104">
        <v>1</v>
      </c>
      <c r="K104">
        <v>0.5</v>
      </c>
      <c r="L104">
        <v>0.5</v>
      </c>
      <c r="M104">
        <v>0.5</v>
      </c>
      <c r="N104">
        <v>1</v>
      </c>
      <c r="O104">
        <v>7</v>
      </c>
      <c r="P104">
        <v>2</v>
      </c>
    </row>
    <row r="105" spans="1:16" ht="15" thickBot="1" x14ac:dyDescent="0.35">
      <c r="A105" s="27">
        <v>10</v>
      </c>
      <c r="B105" s="26" t="s">
        <v>41</v>
      </c>
      <c r="C105" s="26"/>
      <c r="G105" s="5">
        <v>41122</v>
      </c>
      <c r="H105">
        <v>1</v>
      </c>
      <c r="I105">
        <v>1</v>
      </c>
      <c r="J105">
        <v>1</v>
      </c>
      <c r="K105">
        <v>0.5</v>
      </c>
      <c r="L105">
        <v>0.5</v>
      </c>
      <c r="M105">
        <v>0.5</v>
      </c>
      <c r="N105">
        <v>1</v>
      </c>
      <c r="O105">
        <v>8</v>
      </c>
      <c r="P105">
        <v>3</v>
      </c>
    </row>
    <row r="106" spans="1:16" ht="15" thickBot="1" x14ac:dyDescent="0.35">
      <c r="A106" s="27"/>
      <c r="B106" s="26"/>
      <c r="C106" s="26"/>
      <c r="G106" s="5">
        <v>41153</v>
      </c>
      <c r="H106">
        <v>1</v>
      </c>
      <c r="I106">
        <v>0.5</v>
      </c>
      <c r="J106">
        <v>0.5</v>
      </c>
      <c r="K106">
        <v>0</v>
      </c>
      <c r="L106">
        <v>0.5</v>
      </c>
      <c r="M106">
        <v>0.5</v>
      </c>
      <c r="N106">
        <v>1</v>
      </c>
      <c r="O106">
        <v>10</v>
      </c>
      <c r="P106">
        <v>4</v>
      </c>
    </row>
    <row r="107" spans="1:16" ht="14.4" customHeight="1" x14ac:dyDescent="0.3">
      <c r="A107" s="19" t="s">
        <v>42</v>
      </c>
      <c r="B107" s="19"/>
      <c r="C107" s="19"/>
      <c r="G107" s="5">
        <v>41183</v>
      </c>
      <c r="H107">
        <v>1</v>
      </c>
      <c r="I107">
        <v>0.5</v>
      </c>
      <c r="J107">
        <v>0.5</v>
      </c>
      <c r="K107">
        <v>0.5</v>
      </c>
      <c r="L107">
        <v>0.5</v>
      </c>
      <c r="M107">
        <v>0.5</v>
      </c>
      <c r="N107">
        <v>1</v>
      </c>
      <c r="O107">
        <v>13</v>
      </c>
      <c r="P107">
        <v>6</v>
      </c>
    </row>
    <row r="108" spans="1:16" x14ac:dyDescent="0.3">
      <c r="A108" s="20"/>
      <c r="B108" s="20"/>
      <c r="C108" s="20"/>
      <c r="G108" s="5">
        <v>41214</v>
      </c>
      <c r="H108">
        <v>1</v>
      </c>
      <c r="I108">
        <v>0.5</v>
      </c>
      <c r="J108">
        <v>0.5</v>
      </c>
      <c r="K108">
        <v>0.5</v>
      </c>
      <c r="L108">
        <v>0.5</v>
      </c>
      <c r="M108">
        <v>1</v>
      </c>
      <c r="N108">
        <v>1</v>
      </c>
      <c r="O108">
        <v>17</v>
      </c>
      <c r="P108">
        <v>8</v>
      </c>
    </row>
    <row r="109" spans="1:16" x14ac:dyDescent="0.3">
      <c r="A109" s="20"/>
      <c r="B109" s="20"/>
      <c r="C109" s="20"/>
      <c r="G109" s="5">
        <v>41244</v>
      </c>
      <c r="H109">
        <v>1</v>
      </c>
      <c r="I109">
        <v>1</v>
      </c>
      <c r="J109">
        <v>1</v>
      </c>
      <c r="K109">
        <v>0.5</v>
      </c>
      <c r="L109">
        <v>0.5</v>
      </c>
      <c r="M109">
        <v>1</v>
      </c>
      <c r="N109">
        <v>1</v>
      </c>
      <c r="O109">
        <v>18</v>
      </c>
      <c r="P109">
        <v>12</v>
      </c>
    </row>
    <row r="110" spans="1:16" x14ac:dyDescent="0.3">
      <c r="A110" s="20"/>
      <c r="B110" s="20"/>
      <c r="C110" s="20"/>
      <c r="G110" s="5">
        <v>41275</v>
      </c>
      <c r="H110">
        <v>1</v>
      </c>
      <c r="I110">
        <v>1</v>
      </c>
      <c r="J110">
        <v>1</v>
      </c>
      <c r="K110">
        <v>0.5</v>
      </c>
      <c r="L110">
        <v>0.5</v>
      </c>
      <c r="M110">
        <v>1</v>
      </c>
      <c r="N110">
        <v>1</v>
      </c>
      <c r="O110">
        <v>23</v>
      </c>
      <c r="P110">
        <v>15</v>
      </c>
    </row>
    <row r="111" spans="1:16" x14ac:dyDescent="0.3">
      <c r="A111" s="20"/>
      <c r="B111" s="20"/>
      <c r="C111" s="20"/>
      <c r="G111" s="5">
        <v>41306</v>
      </c>
      <c r="H111">
        <v>2</v>
      </c>
      <c r="I111">
        <v>1</v>
      </c>
      <c r="J111">
        <v>1</v>
      </c>
      <c r="K111">
        <v>0.5</v>
      </c>
      <c r="L111">
        <v>0.5</v>
      </c>
      <c r="M111">
        <v>1</v>
      </c>
      <c r="N111">
        <v>1</v>
      </c>
      <c r="O111">
        <v>24</v>
      </c>
      <c r="P111">
        <v>9</v>
      </c>
    </row>
    <row r="112" spans="1:16" x14ac:dyDescent="0.3">
      <c r="A112" s="20"/>
      <c r="B112" s="20"/>
      <c r="C112" s="20"/>
      <c r="G112" s="5">
        <v>41334</v>
      </c>
      <c r="H112">
        <v>2</v>
      </c>
      <c r="I112">
        <v>0.5</v>
      </c>
      <c r="J112">
        <v>1</v>
      </c>
      <c r="K112">
        <v>0.5</v>
      </c>
      <c r="L112">
        <v>0.5</v>
      </c>
      <c r="M112">
        <v>1</v>
      </c>
      <c r="N112">
        <v>1</v>
      </c>
      <c r="O112">
        <v>22</v>
      </c>
      <c r="P112">
        <v>5</v>
      </c>
    </row>
    <row r="113" spans="1:16" x14ac:dyDescent="0.3">
      <c r="A113" s="20"/>
      <c r="B113" s="20"/>
      <c r="C113" s="20"/>
      <c r="G113" s="5">
        <v>41365</v>
      </c>
      <c r="H113">
        <v>1</v>
      </c>
      <c r="I113">
        <v>0.5</v>
      </c>
      <c r="J113">
        <v>0.5</v>
      </c>
      <c r="K113">
        <v>0.5</v>
      </c>
      <c r="L113">
        <v>0.5</v>
      </c>
      <c r="M113">
        <v>0.5</v>
      </c>
      <c r="N113">
        <v>1</v>
      </c>
      <c r="O113">
        <v>11</v>
      </c>
      <c r="P113">
        <v>3</v>
      </c>
    </row>
    <row r="114" spans="1:16" ht="15" thickBot="1" x14ac:dyDescent="0.35">
      <c r="G114" s="5">
        <v>41395</v>
      </c>
      <c r="H114">
        <v>1</v>
      </c>
      <c r="I114">
        <v>0.5</v>
      </c>
      <c r="J114">
        <v>0.5</v>
      </c>
      <c r="K114">
        <v>0.5</v>
      </c>
      <c r="L114">
        <v>0.5</v>
      </c>
      <c r="M114">
        <v>0.5</v>
      </c>
      <c r="N114">
        <v>1</v>
      </c>
      <c r="O114">
        <v>11</v>
      </c>
      <c r="P114">
        <v>2</v>
      </c>
    </row>
    <row r="115" spans="1:16" ht="15" thickBot="1" x14ac:dyDescent="0.35">
      <c r="A115" s="21" t="s">
        <v>43</v>
      </c>
      <c r="B115" s="21"/>
      <c r="C115" s="21"/>
      <c r="G115" s="5">
        <v>41426</v>
      </c>
      <c r="H115">
        <v>1</v>
      </c>
      <c r="I115">
        <v>0.5</v>
      </c>
      <c r="J115">
        <v>0.5</v>
      </c>
      <c r="K115">
        <v>0.5</v>
      </c>
      <c r="L115">
        <v>0.5</v>
      </c>
      <c r="M115">
        <v>0.5</v>
      </c>
      <c r="N115">
        <v>1</v>
      </c>
      <c r="O115">
        <v>9</v>
      </c>
      <c r="P115">
        <v>2</v>
      </c>
    </row>
    <row r="116" spans="1:16" ht="15" thickBot="1" x14ac:dyDescent="0.35">
      <c r="A116" s="21"/>
      <c r="B116" s="21"/>
      <c r="C116" s="21"/>
      <c r="G116" s="5">
        <v>41456</v>
      </c>
      <c r="H116">
        <v>1</v>
      </c>
      <c r="I116">
        <v>0.5</v>
      </c>
      <c r="J116">
        <v>0.5</v>
      </c>
      <c r="K116">
        <v>0.5</v>
      </c>
      <c r="L116">
        <v>0.5</v>
      </c>
      <c r="M116">
        <v>0.5</v>
      </c>
      <c r="N116">
        <v>1</v>
      </c>
      <c r="O116">
        <v>7</v>
      </c>
      <c r="P116">
        <v>2</v>
      </c>
    </row>
    <row r="117" spans="1:16" ht="15" thickBot="1" x14ac:dyDescent="0.35">
      <c r="A117" s="25">
        <v>11</v>
      </c>
      <c r="B117" s="26" t="s">
        <v>44</v>
      </c>
      <c r="C117" s="26"/>
      <c r="G117" s="5">
        <v>41487</v>
      </c>
      <c r="H117">
        <v>1</v>
      </c>
      <c r="I117">
        <v>0.5</v>
      </c>
      <c r="J117">
        <v>0.5</v>
      </c>
      <c r="K117">
        <v>0.5</v>
      </c>
      <c r="L117">
        <v>0.5</v>
      </c>
      <c r="M117">
        <v>0.5</v>
      </c>
      <c r="N117">
        <v>1</v>
      </c>
      <c r="O117">
        <v>8</v>
      </c>
      <c r="P117">
        <v>3</v>
      </c>
    </row>
    <row r="118" spans="1:16" ht="15" thickBot="1" x14ac:dyDescent="0.35">
      <c r="A118" s="25"/>
      <c r="B118" s="26"/>
      <c r="C118" s="26"/>
      <c r="G118" s="5">
        <v>41518</v>
      </c>
      <c r="H118">
        <v>1</v>
      </c>
      <c r="I118">
        <v>0.5</v>
      </c>
      <c r="J118">
        <v>0.5</v>
      </c>
      <c r="K118">
        <v>0.5</v>
      </c>
      <c r="L118">
        <v>0.5</v>
      </c>
      <c r="M118">
        <v>0.5</v>
      </c>
      <c r="N118">
        <v>0.5</v>
      </c>
      <c r="O118">
        <v>10</v>
      </c>
      <c r="P118">
        <v>4</v>
      </c>
    </row>
    <row r="119" spans="1:16" ht="15" thickBot="1" x14ac:dyDescent="0.35">
      <c r="A119" s="25"/>
      <c r="B119" s="26"/>
      <c r="C119" s="26"/>
      <c r="G119" s="5">
        <v>41548</v>
      </c>
      <c r="H119">
        <v>1</v>
      </c>
      <c r="I119">
        <v>0.5</v>
      </c>
      <c r="J119">
        <v>0.5</v>
      </c>
      <c r="K119">
        <v>0.5</v>
      </c>
      <c r="L119">
        <v>0.5</v>
      </c>
      <c r="M119">
        <v>0.5</v>
      </c>
      <c r="N119">
        <v>1</v>
      </c>
      <c r="O119">
        <v>14</v>
      </c>
      <c r="P119">
        <v>5</v>
      </c>
    </row>
    <row r="120" spans="1:16" x14ac:dyDescent="0.3">
      <c r="A120" s="6"/>
      <c r="B120" s="6"/>
      <c r="C120" s="6"/>
      <c r="G120" s="5">
        <v>41579</v>
      </c>
      <c r="H120">
        <v>2</v>
      </c>
      <c r="I120">
        <v>0.5</v>
      </c>
      <c r="J120">
        <v>1</v>
      </c>
      <c r="K120">
        <v>0.5</v>
      </c>
      <c r="L120">
        <v>0.5</v>
      </c>
      <c r="M120">
        <v>1</v>
      </c>
      <c r="N120">
        <v>1</v>
      </c>
      <c r="O120">
        <v>18</v>
      </c>
      <c r="P120">
        <v>8</v>
      </c>
    </row>
    <row r="121" spans="1:16" x14ac:dyDescent="0.3">
      <c r="A121" s="6"/>
      <c r="B121" s="6"/>
      <c r="C121" s="6"/>
      <c r="G121" s="5">
        <v>41609</v>
      </c>
      <c r="H121">
        <v>2</v>
      </c>
      <c r="I121">
        <v>1</v>
      </c>
      <c r="J121">
        <v>1</v>
      </c>
      <c r="K121">
        <v>0.5</v>
      </c>
      <c r="L121">
        <v>0.5</v>
      </c>
      <c r="M121">
        <v>1</v>
      </c>
      <c r="N121">
        <v>1</v>
      </c>
      <c r="O121">
        <v>19</v>
      </c>
      <c r="P121">
        <v>15</v>
      </c>
    </row>
    <row r="122" spans="1:16" x14ac:dyDescent="0.3">
      <c r="A122" s="6"/>
      <c r="B122" s="6"/>
      <c r="C122" s="6"/>
      <c r="G122" s="5">
        <v>41640</v>
      </c>
      <c r="H122">
        <v>5</v>
      </c>
      <c r="I122">
        <v>1</v>
      </c>
      <c r="J122">
        <v>2</v>
      </c>
      <c r="K122">
        <v>0.5</v>
      </c>
      <c r="L122">
        <v>1</v>
      </c>
      <c r="M122">
        <v>1</v>
      </c>
      <c r="N122">
        <v>4</v>
      </c>
      <c r="O122">
        <v>20</v>
      </c>
      <c r="P122">
        <v>16</v>
      </c>
    </row>
    <row r="123" spans="1:16" x14ac:dyDescent="0.3">
      <c r="A123" s="6"/>
      <c r="B123" s="6"/>
      <c r="C123" s="6"/>
      <c r="G123" s="5">
        <v>41671</v>
      </c>
      <c r="H123">
        <v>54</v>
      </c>
      <c r="I123">
        <v>19</v>
      </c>
      <c r="J123">
        <v>17</v>
      </c>
      <c r="K123">
        <v>2</v>
      </c>
      <c r="L123">
        <v>7</v>
      </c>
      <c r="M123">
        <v>8</v>
      </c>
      <c r="N123">
        <v>41</v>
      </c>
      <c r="O123">
        <v>25</v>
      </c>
      <c r="P123">
        <v>40</v>
      </c>
    </row>
    <row r="124" spans="1:16" x14ac:dyDescent="0.3">
      <c r="A124" s="6"/>
      <c r="B124" s="6"/>
      <c r="C124" s="6"/>
      <c r="G124" s="5">
        <v>41699</v>
      </c>
      <c r="H124">
        <v>3</v>
      </c>
      <c r="I124">
        <v>1</v>
      </c>
      <c r="J124">
        <v>1</v>
      </c>
      <c r="K124">
        <v>0.5</v>
      </c>
      <c r="L124">
        <v>1</v>
      </c>
      <c r="M124">
        <v>1</v>
      </c>
      <c r="N124">
        <v>1</v>
      </c>
      <c r="O124">
        <v>21</v>
      </c>
      <c r="P124">
        <v>6</v>
      </c>
    </row>
    <row r="125" spans="1:16" x14ac:dyDescent="0.3">
      <c r="A125" s="6"/>
      <c r="B125" s="6"/>
      <c r="C125" s="6"/>
      <c r="G125" s="5">
        <v>41730</v>
      </c>
      <c r="H125">
        <v>1</v>
      </c>
      <c r="I125">
        <v>0.5</v>
      </c>
      <c r="J125">
        <v>0.5</v>
      </c>
      <c r="K125">
        <v>0.5</v>
      </c>
      <c r="L125">
        <v>0.5</v>
      </c>
      <c r="M125">
        <v>0.5</v>
      </c>
      <c r="N125">
        <v>1</v>
      </c>
      <c r="O125">
        <v>11</v>
      </c>
      <c r="P125">
        <v>3</v>
      </c>
    </row>
    <row r="126" spans="1:16" x14ac:dyDescent="0.3">
      <c r="A126" s="6"/>
      <c r="B126" s="6"/>
      <c r="C126" s="6"/>
      <c r="G126" s="5">
        <v>41760</v>
      </c>
      <c r="H126">
        <v>1</v>
      </c>
      <c r="I126">
        <v>0.5</v>
      </c>
      <c r="J126">
        <v>0.5</v>
      </c>
      <c r="K126">
        <v>0.5</v>
      </c>
      <c r="L126">
        <v>0.5</v>
      </c>
      <c r="M126">
        <v>0.5</v>
      </c>
      <c r="N126">
        <v>1</v>
      </c>
      <c r="O126">
        <v>9</v>
      </c>
      <c r="P126">
        <v>2</v>
      </c>
    </row>
    <row r="127" spans="1:16" x14ac:dyDescent="0.3">
      <c r="A127" s="6"/>
      <c r="B127" s="6"/>
      <c r="C127" s="6"/>
      <c r="G127" s="5">
        <v>41791</v>
      </c>
      <c r="H127">
        <v>1</v>
      </c>
      <c r="I127">
        <v>0.5</v>
      </c>
      <c r="J127">
        <v>0.5</v>
      </c>
      <c r="K127">
        <v>0.5</v>
      </c>
      <c r="L127">
        <v>0.5</v>
      </c>
      <c r="M127">
        <v>0.5</v>
      </c>
      <c r="N127">
        <v>0.5</v>
      </c>
      <c r="O127">
        <v>8</v>
      </c>
      <c r="P127">
        <v>1</v>
      </c>
    </row>
    <row r="128" spans="1:16" x14ac:dyDescent="0.3">
      <c r="A128" s="6"/>
      <c r="B128" s="6"/>
      <c r="C128" s="6"/>
      <c r="G128" s="5">
        <v>41821</v>
      </c>
      <c r="H128">
        <v>1</v>
      </c>
      <c r="I128">
        <v>0.5</v>
      </c>
      <c r="J128">
        <v>0.5</v>
      </c>
      <c r="K128">
        <v>0.5</v>
      </c>
      <c r="L128">
        <v>0.5</v>
      </c>
      <c r="M128">
        <v>0.5</v>
      </c>
      <c r="N128">
        <v>0.5</v>
      </c>
      <c r="O128">
        <v>6</v>
      </c>
      <c r="P128">
        <v>2</v>
      </c>
    </row>
    <row r="129" spans="1:16" x14ac:dyDescent="0.3">
      <c r="A129" s="6"/>
      <c r="B129" s="6"/>
      <c r="C129" s="6"/>
      <c r="G129" s="5">
        <v>41852</v>
      </c>
      <c r="H129">
        <v>1</v>
      </c>
      <c r="I129">
        <v>0.5</v>
      </c>
      <c r="J129">
        <v>0.5</v>
      </c>
      <c r="K129">
        <v>0.5</v>
      </c>
      <c r="L129">
        <v>0.5</v>
      </c>
      <c r="M129">
        <v>0.5</v>
      </c>
      <c r="N129">
        <v>0.5</v>
      </c>
      <c r="O129">
        <v>7</v>
      </c>
      <c r="P129">
        <v>2</v>
      </c>
    </row>
    <row r="130" spans="1:16" x14ac:dyDescent="0.3">
      <c r="A130" s="6"/>
      <c r="B130" s="6"/>
      <c r="C130" s="6"/>
      <c r="G130" s="5">
        <v>41883</v>
      </c>
      <c r="H130">
        <v>1</v>
      </c>
      <c r="I130">
        <v>0.5</v>
      </c>
      <c r="J130">
        <v>0.5</v>
      </c>
      <c r="K130">
        <v>0.5</v>
      </c>
      <c r="L130">
        <v>0.5</v>
      </c>
      <c r="M130">
        <v>0.5</v>
      </c>
      <c r="N130">
        <v>1</v>
      </c>
      <c r="O130">
        <v>9</v>
      </c>
      <c r="P130">
        <v>4</v>
      </c>
    </row>
    <row r="131" spans="1:16" x14ac:dyDescent="0.3">
      <c r="A131" s="6"/>
      <c r="B131" s="6"/>
      <c r="C131" s="6"/>
      <c r="G131" s="5">
        <v>41913</v>
      </c>
      <c r="H131">
        <v>1</v>
      </c>
      <c r="I131">
        <v>0.5</v>
      </c>
      <c r="J131">
        <v>0.5</v>
      </c>
      <c r="K131">
        <v>0.5</v>
      </c>
      <c r="L131">
        <v>0.5</v>
      </c>
      <c r="M131">
        <v>0.5</v>
      </c>
      <c r="N131">
        <v>1</v>
      </c>
      <c r="O131">
        <v>14</v>
      </c>
      <c r="P131">
        <v>4</v>
      </c>
    </row>
    <row r="132" spans="1:16" x14ac:dyDescent="0.3">
      <c r="A132" s="6"/>
      <c r="B132" s="6"/>
      <c r="C132" s="6"/>
      <c r="G132" s="5">
        <v>41944</v>
      </c>
      <c r="H132">
        <v>1</v>
      </c>
      <c r="I132">
        <v>0.5</v>
      </c>
      <c r="J132">
        <v>1</v>
      </c>
      <c r="K132">
        <v>0.5</v>
      </c>
      <c r="L132">
        <v>0.5</v>
      </c>
      <c r="M132">
        <v>1</v>
      </c>
      <c r="N132">
        <v>1</v>
      </c>
      <c r="O132">
        <v>18</v>
      </c>
      <c r="P132">
        <v>8</v>
      </c>
    </row>
    <row r="133" spans="1:16" x14ac:dyDescent="0.3">
      <c r="A133" s="6"/>
      <c r="B133" s="6"/>
      <c r="C133" s="6"/>
      <c r="G133" s="5">
        <v>41974</v>
      </c>
      <c r="H133">
        <v>2</v>
      </c>
      <c r="I133">
        <v>1</v>
      </c>
      <c r="J133">
        <v>0.5</v>
      </c>
      <c r="K133">
        <v>0.5</v>
      </c>
      <c r="L133">
        <v>0.5</v>
      </c>
      <c r="M133">
        <v>1</v>
      </c>
      <c r="N133">
        <v>1</v>
      </c>
      <c r="O133">
        <v>18</v>
      </c>
      <c r="P133">
        <v>10</v>
      </c>
    </row>
    <row r="134" spans="1:16" x14ac:dyDescent="0.3">
      <c r="A134" s="6"/>
      <c r="B134" s="6"/>
      <c r="C134" s="6"/>
      <c r="G134" s="5">
        <v>42005</v>
      </c>
      <c r="H134">
        <v>2</v>
      </c>
      <c r="I134">
        <v>1</v>
      </c>
      <c r="J134">
        <v>1</v>
      </c>
      <c r="K134">
        <v>0.5</v>
      </c>
      <c r="L134">
        <v>1</v>
      </c>
      <c r="M134">
        <v>1</v>
      </c>
      <c r="N134">
        <v>1</v>
      </c>
      <c r="O134">
        <v>20</v>
      </c>
      <c r="P134">
        <v>11</v>
      </c>
    </row>
    <row r="135" spans="1:16" x14ac:dyDescent="0.3">
      <c r="A135" s="6"/>
      <c r="B135" s="6"/>
      <c r="C135" s="6"/>
      <c r="G135" s="5">
        <v>42036</v>
      </c>
      <c r="H135">
        <v>2</v>
      </c>
      <c r="I135">
        <v>1</v>
      </c>
      <c r="J135">
        <v>0.5</v>
      </c>
      <c r="K135">
        <v>0.5</v>
      </c>
      <c r="L135">
        <v>0.5</v>
      </c>
      <c r="M135">
        <v>1</v>
      </c>
      <c r="N135">
        <v>1</v>
      </c>
      <c r="O135">
        <v>20</v>
      </c>
      <c r="P135">
        <v>7</v>
      </c>
    </row>
    <row r="136" spans="1:16" x14ac:dyDescent="0.3">
      <c r="A136" s="6"/>
      <c r="B136" s="6"/>
      <c r="C136" s="6"/>
      <c r="G136" s="5">
        <v>42064</v>
      </c>
      <c r="H136">
        <v>2</v>
      </c>
      <c r="I136">
        <v>0.5</v>
      </c>
      <c r="J136">
        <v>0.5</v>
      </c>
      <c r="K136">
        <v>0.5</v>
      </c>
      <c r="L136">
        <v>1</v>
      </c>
      <c r="M136">
        <v>1</v>
      </c>
      <c r="N136">
        <v>0.5</v>
      </c>
      <c r="O136">
        <v>19</v>
      </c>
      <c r="P136">
        <v>5</v>
      </c>
    </row>
    <row r="137" spans="1:16" ht="15" thickBot="1" x14ac:dyDescent="0.35">
      <c r="A137" s="6"/>
      <c r="B137" s="6"/>
      <c r="C137" s="6"/>
      <c r="G137" s="5">
        <v>42095</v>
      </c>
      <c r="H137">
        <v>1</v>
      </c>
      <c r="I137">
        <v>0.5</v>
      </c>
      <c r="J137">
        <v>0.5</v>
      </c>
      <c r="K137">
        <v>0.5</v>
      </c>
      <c r="L137">
        <v>0.5</v>
      </c>
      <c r="M137">
        <v>0.5</v>
      </c>
      <c r="N137">
        <v>0.5</v>
      </c>
      <c r="O137">
        <v>11</v>
      </c>
      <c r="P137">
        <v>2</v>
      </c>
    </row>
    <row r="138" spans="1:16" ht="15" thickBot="1" x14ac:dyDescent="0.35">
      <c r="A138" s="43">
        <v>12</v>
      </c>
      <c r="B138" s="26" t="s">
        <v>45</v>
      </c>
      <c r="C138" s="45" t="s">
        <v>19</v>
      </c>
      <c r="G138" s="5">
        <v>42125</v>
      </c>
      <c r="H138">
        <v>1</v>
      </c>
      <c r="I138">
        <v>0.5</v>
      </c>
      <c r="J138">
        <v>0.5</v>
      </c>
      <c r="K138">
        <v>0</v>
      </c>
      <c r="L138">
        <v>0.5</v>
      </c>
      <c r="M138">
        <v>0.5</v>
      </c>
      <c r="N138">
        <v>0.5</v>
      </c>
      <c r="O138">
        <v>10</v>
      </c>
      <c r="P138">
        <v>1</v>
      </c>
    </row>
    <row r="139" spans="1:16" ht="15" thickBot="1" x14ac:dyDescent="0.35">
      <c r="A139" s="44"/>
      <c r="B139" s="26"/>
      <c r="C139" s="45"/>
      <c r="G139" s="5">
        <v>42156</v>
      </c>
      <c r="H139">
        <v>1</v>
      </c>
      <c r="I139">
        <v>0.5</v>
      </c>
      <c r="J139">
        <v>0.5</v>
      </c>
      <c r="K139">
        <v>0</v>
      </c>
      <c r="L139">
        <v>0.5</v>
      </c>
      <c r="M139">
        <v>0.5</v>
      </c>
      <c r="N139">
        <v>0.5</v>
      </c>
      <c r="O139">
        <v>8</v>
      </c>
      <c r="P139">
        <v>1</v>
      </c>
    </row>
    <row r="140" spans="1:16" ht="15" thickBot="1" x14ac:dyDescent="0.35">
      <c r="G140" s="5">
        <v>42186</v>
      </c>
      <c r="H140">
        <v>1</v>
      </c>
      <c r="I140">
        <v>0.5</v>
      </c>
      <c r="J140">
        <v>0.5</v>
      </c>
      <c r="K140">
        <v>0.5</v>
      </c>
      <c r="L140">
        <v>0.5</v>
      </c>
      <c r="M140">
        <v>0.5</v>
      </c>
      <c r="N140">
        <v>0.5</v>
      </c>
      <c r="O140">
        <v>6</v>
      </c>
      <c r="P140">
        <v>2</v>
      </c>
    </row>
    <row r="141" spans="1:16" ht="15" thickBot="1" x14ac:dyDescent="0.35">
      <c r="A141" s="21" t="s">
        <v>46</v>
      </c>
      <c r="B141" s="21"/>
      <c r="C141" s="21"/>
      <c r="G141" s="5">
        <v>42217</v>
      </c>
      <c r="H141">
        <v>1</v>
      </c>
      <c r="I141">
        <v>0.5</v>
      </c>
      <c r="J141">
        <v>0.5</v>
      </c>
      <c r="K141">
        <v>0.5</v>
      </c>
      <c r="L141">
        <v>0.5</v>
      </c>
      <c r="M141">
        <v>0.5</v>
      </c>
      <c r="N141">
        <v>0.5</v>
      </c>
      <c r="O141">
        <v>7</v>
      </c>
      <c r="P141">
        <v>2</v>
      </c>
    </row>
    <row r="142" spans="1:16" ht="15" thickBot="1" x14ac:dyDescent="0.35">
      <c r="A142" s="21"/>
      <c r="B142" s="21"/>
      <c r="C142" s="21"/>
      <c r="G142" s="5">
        <v>42248</v>
      </c>
      <c r="H142">
        <v>1</v>
      </c>
      <c r="I142">
        <v>0.5</v>
      </c>
      <c r="J142">
        <v>0.5</v>
      </c>
      <c r="K142">
        <v>0</v>
      </c>
      <c r="L142">
        <v>0.5</v>
      </c>
      <c r="M142">
        <v>0.5</v>
      </c>
      <c r="N142">
        <v>0.5</v>
      </c>
      <c r="O142">
        <v>9</v>
      </c>
      <c r="P142">
        <v>3</v>
      </c>
    </row>
    <row r="143" spans="1:16" ht="15" thickBot="1" x14ac:dyDescent="0.35">
      <c r="A143" s="27">
        <v>13</v>
      </c>
      <c r="B143" s="46" t="s">
        <v>47</v>
      </c>
      <c r="C143" s="47"/>
      <c r="G143" s="5">
        <v>42278</v>
      </c>
      <c r="H143">
        <v>1</v>
      </c>
      <c r="I143">
        <v>0.5</v>
      </c>
      <c r="J143">
        <v>0.5</v>
      </c>
      <c r="K143">
        <v>0.5</v>
      </c>
      <c r="L143">
        <v>0.5</v>
      </c>
      <c r="M143">
        <v>0.5</v>
      </c>
      <c r="N143">
        <v>1</v>
      </c>
      <c r="O143">
        <v>14</v>
      </c>
      <c r="P143">
        <v>4</v>
      </c>
    </row>
    <row r="144" spans="1:16" ht="15" thickBot="1" x14ac:dyDescent="0.35">
      <c r="A144" s="27"/>
      <c r="B144" s="47"/>
      <c r="C144" s="47"/>
      <c r="G144" s="5">
        <v>42309</v>
      </c>
      <c r="H144">
        <v>1</v>
      </c>
      <c r="I144">
        <v>0.5</v>
      </c>
      <c r="J144">
        <v>0.5</v>
      </c>
      <c r="K144">
        <v>0.5</v>
      </c>
      <c r="L144">
        <v>0.5</v>
      </c>
      <c r="M144">
        <v>1</v>
      </c>
      <c r="N144">
        <v>0.5</v>
      </c>
      <c r="O144">
        <v>17</v>
      </c>
      <c r="P144">
        <v>6</v>
      </c>
    </row>
    <row r="145" spans="1:16" ht="15" thickBot="1" x14ac:dyDescent="0.35">
      <c r="A145" s="27"/>
      <c r="B145" s="47"/>
      <c r="C145" s="47"/>
      <c r="G145" s="5">
        <v>42339</v>
      </c>
      <c r="H145">
        <v>1</v>
      </c>
      <c r="I145">
        <v>1</v>
      </c>
      <c r="J145">
        <v>0.5</v>
      </c>
      <c r="K145">
        <v>0.5</v>
      </c>
      <c r="L145">
        <v>0.5</v>
      </c>
      <c r="M145">
        <v>1</v>
      </c>
      <c r="N145">
        <v>1</v>
      </c>
      <c r="O145">
        <v>18</v>
      </c>
      <c r="P145">
        <v>9</v>
      </c>
    </row>
    <row r="146" spans="1:16" ht="15" thickBot="1" x14ac:dyDescent="0.35">
      <c r="A146" s="27"/>
      <c r="B146" s="47"/>
      <c r="C146" s="47"/>
      <c r="G146" s="5">
        <v>42370</v>
      </c>
      <c r="H146">
        <v>2</v>
      </c>
      <c r="I146">
        <v>1</v>
      </c>
      <c r="J146">
        <v>1</v>
      </c>
      <c r="K146">
        <v>0.5</v>
      </c>
      <c r="L146">
        <v>0.5</v>
      </c>
      <c r="M146">
        <v>1</v>
      </c>
      <c r="N146">
        <v>1</v>
      </c>
      <c r="O146">
        <v>19</v>
      </c>
      <c r="P146">
        <v>13</v>
      </c>
    </row>
    <row r="147" spans="1:16" x14ac:dyDescent="0.3">
      <c r="A147" s="6"/>
      <c r="B147" s="6"/>
      <c r="C147" s="6"/>
      <c r="G147" s="5">
        <v>42401</v>
      </c>
      <c r="H147">
        <v>3</v>
      </c>
      <c r="I147">
        <v>0.5</v>
      </c>
      <c r="J147">
        <v>0.5</v>
      </c>
      <c r="K147">
        <v>0.5</v>
      </c>
      <c r="L147">
        <v>0.5</v>
      </c>
      <c r="M147">
        <v>1</v>
      </c>
      <c r="N147">
        <v>1</v>
      </c>
      <c r="O147">
        <v>22</v>
      </c>
      <c r="P147">
        <v>7</v>
      </c>
    </row>
    <row r="148" spans="1:16" x14ac:dyDescent="0.3">
      <c r="A148" s="6"/>
      <c r="B148" s="6"/>
      <c r="C148" s="6"/>
      <c r="G148" s="5">
        <v>42430</v>
      </c>
      <c r="H148">
        <v>2</v>
      </c>
      <c r="I148">
        <v>0.5</v>
      </c>
      <c r="J148">
        <v>0.5</v>
      </c>
      <c r="K148">
        <v>0.5</v>
      </c>
      <c r="L148">
        <v>0.5</v>
      </c>
      <c r="M148">
        <v>1</v>
      </c>
      <c r="N148">
        <v>1</v>
      </c>
      <c r="O148">
        <v>18</v>
      </c>
      <c r="P148">
        <v>4</v>
      </c>
    </row>
    <row r="149" spans="1:16" x14ac:dyDescent="0.3">
      <c r="A149" s="6"/>
      <c r="B149" s="6"/>
      <c r="C149" s="6"/>
      <c r="G149" s="5">
        <v>42461</v>
      </c>
      <c r="H149">
        <v>2</v>
      </c>
      <c r="I149">
        <v>0.5</v>
      </c>
      <c r="J149">
        <v>0.5</v>
      </c>
      <c r="K149">
        <v>0.5</v>
      </c>
      <c r="L149">
        <v>0.5</v>
      </c>
      <c r="M149">
        <v>0.5</v>
      </c>
      <c r="N149">
        <v>0.5</v>
      </c>
      <c r="O149">
        <v>12</v>
      </c>
      <c r="P149">
        <v>2</v>
      </c>
    </row>
    <row r="150" spans="1:16" x14ac:dyDescent="0.3">
      <c r="A150" s="6"/>
      <c r="B150" s="6"/>
      <c r="C150" s="6"/>
      <c r="G150" s="5">
        <v>42491</v>
      </c>
      <c r="H150">
        <v>1</v>
      </c>
      <c r="I150">
        <v>0.5</v>
      </c>
      <c r="J150">
        <v>0.5</v>
      </c>
      <c r="K150">
        <v>0.5</v>
      </c>
      <c r="L150">
        <v>0.5</v>
      </c>
      <c r="M150">
        <v>0.5</v>
      </c>
      <c r="N150">
        <v>0.5</v>
      </c>
      <c r="O150">
        <v>10</v>
      </c>
      <c r="P150">
        <v>2</v>
      </c>
    </row>
    <row r="151" spans="1:16" x14ac:dyDescent="0.3">
      <c r="A151" s="6"/>
      <c r="B151" s="6"/>
      <c r="C151" s="6"/>
      <c r="G151" s="5">
        <v>42522</v>
      </c>
      <c r="H151">
        <v>1</v>
      </c>
      <c r="I151">
        <v>1</v>
      </c>
      <c r="J151">
        <v>0.5</v>
      </c>
      <c r="K151">
        <v>0.5</v>
      </c>
      <c r="L151">
        <v>0.5</v>
      </c>
      <c r="M151">
        <v>0.5</v>
      </c>
      <c r="N151">
        <v>0.5</v>
      </c>
      <c r="O151">
        <v>7</v>
      </c>
      <c r="P151">
        <v>1</v>
      </c>
    </row>
    <row r="152" spans="1:16" x14ac:dyDescent="0.3">
      <c r="A152" s="6"/>
      <c r="B152" s="6"/>
      <c r="C152" s="6"/>
      <c r="G152" s="5">
        <v>42552</v>
      </c>
      <c r="H152">
        <v>1</v>
      </c>
      <c r="I152">
        <v>1</v>
      </c>
      <c r="J152">
        <v>0.5</v>
      </c>
      <c r="K152">
        <v>0.5</v>
      </c>
      <c r="L152">
        <v>0.5</v>
      </c>
      <c r="M152">
        <v>0.5</v>
      </c>
      <c r="N152">
        <v>1</v>
      </c>
      <c r="O152">
        <v>6</v>
      </c>
      <c r="P152">
        <v>2</v>
      </c>
    </row>
    <row r="153" spans="1:16" x14ac:dyDescent="0.3">
      <c r="A153" s="6"/>
      <c r="B153" s="6"/>
      <c r="C153" s="6"/>
      <c r="G153" s="5">
        <v>42583</v>
      </c>
      <c r="H153">
        <v>2</v>
      </c>
      <c r="I153">
        <v>1</v>
      </c>
      <c r="J153">
        <v>0.5</v>
      </c>
      <c r="K153">
        <v>0.5</v>
      </c>
      <c r="L153">
        <v>0.5</v>
      </c>
      <c r="M153">
        <v>0.5</v>
      </c>
      <c r="N153">
        <v>1</v>
      </c>
      <c r="O153">
        <v>7</v>
      </c>
      <c r="P153">
        <v>2</v>
      </c>
    </row>
    <row r="154" spans="1:16" x14ac:dyDescent="0.3">
      <c r="A154" s="6"/>
      <c r="B154" s="6"/>
      <c r="C154" s="6"/>
      <c r="G154" s="5">
        <v>42614</v>
      </c>
      <c r="H154">
        <v>1</v>
      </c>
      <c r="I154">
        <v>0.5</v>
      </c>
      <c r="J154">
        <v>0.5</v>
      </c>
      <c r="K154">
        <v>0.5</v>
      </c>
      <c r="L154">
        <v>0.5</v>
      </c>
      <c r="M154">
        <v>0.5</v>
      </c>
      <c r="N154">
        <v>0.5</v>
      </c>
      <c r="O154">
        <v>13</v>
      </c>
      <c r="P154">
        <v>3</v>
      </c>
    </row>
    <row r="155" spans="1:16" x14ac:dyDescent="0.3">
      <c r="A155" s="6"/>
      <c r="B155" s="6"/>
      <c r="C155" s="6"/>
      <c r="G155" s="5">
        <v>42644</v>
      </c>
      <c r="H155">
        <v>1</v>
      </c>
      <c r="I155">
        <v>1</v>
      </c>
      <c r="J155">
        <v>0.5</v>
      </c>
      <c r="K155">
        <v>0.5</v>
      </c>
      <c r="L155">
        <v>0.5</v>
      </c>
      <c r="M155">
        <v>0.5</v>
      </c>
      <c r="N155">
        <v>0.5</v>
      </c>
      <c r="O155">
        <v>13</v>
      </c>
      <c r="P155">
        <v>4</v>
      </c>
    </row>
    <row r="156" spans="1:16" x14ac:dyDescent="0.3">
      <c r="A156" s="6"/>
      <c r="B156" s="6"/>
      <c r="C156" s="6"/>
      <c r="G156" s="5">
        <v>42675</v>
      </c>
      <c r="H156">
        <v>1</v>
      </c>
      <c r="I156">
        <v>0.5</v>
      </c>
      <c r="J156">
        <v>0.5</v>
      </c>
      <c r="K156">
        <v>0.5</v>
      </c>
      <c r="L156">
        <v>0.5</v>
      </c>
      <c r="M156">
        <v>1</v>
      </c>
      <c r="N156">
        <v>0.5</v>
      </c>
      <c r="O156">
        <v>15</v>
      </c>
      <c r="P156">
        <v>5</v>
      </c>
    </row>
    <row r="157" spans="1:16" x14ac:dyDescent="0.3">
      <c r="A157" s="6"/>
      <c r="B157" s="6"/>
      <c r="C157" s="6"/>
      <c r="G157" s="5">
        <v>42705</v>
      </c>
      <c r="H157">
        <v>1</v>
      </c>
      <c r="I157">
        <v>1</v>
      </c>
      <c r="J157">
        <v>0.5</v>
      </c>
      <c r="K157">
        <v>0.5</v>
      </c>
      <c r="L157">
        <v>0.5</v>
      </c>
      <c r="M157">
        <v>1</v>
      </c>
      <c r="N157">
        <v>1</v>
      </c>
      <c r="O157">
        <v>17</v>
      </c>
      <c r="P157">
        <v>12</v>
      </c>
    </row>
    <row r="158" spans="1:16" x14ac:dyDescent="0.3">
      <c r="A158" s="6"/>
      <c r="B158" s="6"/>
      <c r="C158" s="6"/>
      <c r="G158" s="5">
        <v>42736</v>
      </c>
      <c r="H158">
        <v>2</v>
      </c>
      <c r="I158">
        <v>1</v>
      </c>
      <c r="J158">
        <v>0.5</v>
      </c>
      <c r="K158">
        <v>0.5</v>
      </c>
      <c r="L158">
        <v>0.5</v>
      </c>
      <c r="M158">
        <v>1</v>
      </c>
      <c r="N158">
        <v>1</v>
      </c>
      <c r="O158">
        <v>17</v>
      </c>
      <c r="P158">
        <v>12</v>
      </c>
    </row>
    <row r="159" spans="1:16" x14ac:dyDescent="0.3">
      <c r="A159" s="6"/>
      <c r="B159" s="6"/>
      <c r="C159" s="6"/>
      <c r="G159" s="5">
        <v>42767</v>
      </c>
      <c r="H159">
        <v>2</v>
      </c>
      <c r="I159">
        <v>0.5</v>
      </c>
      <c r="J159">
        <v>0.5</v>
      </c>
      <c r="K159">
        <v>0.5</v>
      </c>
      <c r="L159">
        <v>0.5</v>
      </c>
      <c r="M159">
        <v>1</v>
      </c>
      <c r="N159">
        <v>1</v>
      </c>
      <c r="O159">
        <v>19</v>
      </c>
      <c r="P159">
        <v>7</v>
      </c>
    </row>
    <row r="160" spans="1:16" x14ac:dyDescent="0.3">
      <c r="A160" s="6"/>
      <c r="B160" s="6"/>
      <c r="C160" s="6"/>
      <c r="G160" s="5">
        <v>42795</v>
      </c>
      <c r="H160">
        <v>3</v>
      </c>
      <c r="I160">
        <v>0.5</v>
      </c>
      <c r="J160">
        <v>0.5</v>
      </c>
      <c r="K160">
        <v>0.5</v>
      </c>
      <c r="L160">
        <v>0.5</v>
      </c>
      <c r="M160">
        <v>1</v>
      </c>
      <c r="N160">
        <v>0.5</v>
      </c>
      <c r="O160">
        <v>19</v>
      </c>
      <c r="P160">
        <v>4</v>
      </c>
    </row>
    <row r="161" spans="1:16" x14ac:dyDescent="0.3">
      <c r="A161" s="6"/>
      <c r="B161" s="6"/>
      <c r="C161" s="6"/>
      <c r="G161" s="5">
        <v>42826</v>
      </c>
      <c r="H161">
        <v>2</v>
      </c>
      <c r="I161">
        <v>0.5</v>
      </c>
      <c r="J161">
        <v>0.5</v>
      </c>
      <c r="K161">
        <v>0.5</v>
      </c>
      <c r="L161">
        <v>0.5</v>
      </c>
      <c r="M161">
        <v>0.5</v>
      </c>
      <c r="N161">
        <v>1</v>
      </c>
      <c r="O161">
        <v>10</v>
      </c>
      <c r="P161">
        <v>2</v>
      </c>
    </row>
    <row r="162" spans="1:16" x14ac:dyDescent="0.3">
      <c r="A162" s="6"/>
      <c r="B162" s="6"/>
      <c r="C162" s="6"/>
      <c r="G162" s="5">
        <v>42856</v>
      </c>
      <c r="H162">
        <v>1</v>
      </c>
      <c r="I162">
        <v>0.5</v>
      </c>
      <c r="J162">
        <v>0.5</v>
      </c>
      <c r="K162">
        <v>0.5</v>
      </c>
      <c r="L162">
        <v>0.5</v>
      </c>
      <c r="M162">
        <v>0.5</v>
      </c>
      <c r="N162">
        <v>1</v>
      </c>
      <c r="O162">
        <v>10</v>
      </c>
      <c r="P162">
        <v>2</v>
      </c>
    </row>
    <row r="163" spans="1:16" x14ac:dyDescent="0.3">
      <c r="A163" s="6"/>
      <c r="B163" s="6"/>
      <c r="C163" s="6"/>
      <c r="G163" s="5">
        <v>42887</v>
      </c>
      <c r="H163">
        <v>1</v>
      </c>
      <c r="I163">
        <v>0.5</v>
      </c>
      <c r="J163">
        <v>0.5</v>
      </c>
      <c r="K163">
        <v>0.5</v>
      </c>
      <c r="L163">
        <v>0.5</v>
      </c>
      <c r="M163">
        <v>0.5</v>
      </c>
      <c r="N163">
        <v>1</v>
      </c>
      <c r="O163">
        <v>7</v>
      </c>
      <c r="P163">
        <v>1</v>
      </c>
    </row>
    <row r="164" spans="1:16" ht="15" thickBot="1" x14ac:dyDescent="0.35">
      <c r="A164" s="6"/>
      <c r="B164" s="6"/>
      <c r="C164" s="6"/>
      <c r="G164" s="5">
        <v>42917</v>
      </c>
      <c r="H164">
        <v>1</v>
      </c>
      <c r="I164">
        <v>0.5</v>
      </c>
      <c r="J164">
        <v>0.5</v>
      </c>
      <c r="K164">
        <v>0.5</v>
      </c>
      <c r="L164">
        <v>0.5</v>
      </c>
      <c r="M164">
        <v>0.5</v>
      </c>
      <c r="N164">
        <v>1</v>
      </c>
      <c r="O164">
        <v>6</v>
      </c>
      <c r="P164">
        <v>2</v>
      </c>
    </row>
    <row r="165" spans="1:16" ht="15" thickBot="1" x14ac:dyDescent="0.35">
      <c r="A165" s="9">
        <v>14</v>
      </c>
      <c r="B165" s="7" t="s">
        <v>48</v>
      </c>
      <c r="C165" s="10" t="s">
        <v>49</v>
      </c>
      <c r="G165" s="5">
        <v>42948</v>
      </c>
      <c r="H165">
        <v>1</v>
      </c>
      <c r="I165">
        <v>0.5</v>
      </c>
      <c r="J165">
        <v>0.5</v>
      </c>
      <c r="K165">
        <v>0.5</v>
      </c>
      <c r="L165">
        <v>0.5</v>
      </c>
      <c r="M165">
        <v>0.5</v>
      </c>
      <c r="N165">
        <v>1</v>
      </c>
      <c r="O165">
        <v>6</v>
      </c>
      <c r="P165">
        <v>2</v>
      </c>
    </row>
    <row r="166" spans="1:16" ht="15" thickBot="1" x14ac:dyDescent="0.35">
      <c r="A166" s="27">
        <v>15</v>
      </c>
      <c r="B166" s="26" t="s">
        <v>50</v>
      </c>
      <c r="C166" s="49"/>
      <c r="G166" s="5">
        <v>42979</v>
      </c>
      <c r="H166">
        <v>1</v>
      </c>
      <c r="I166">
        <v>0.5</v>
      </c>
      <c r="J166">
        <v>0.5</v>
      </c>
      <c r="K166">
        <v>0.5</v>
      </c>
      <c r="L166">
        <v>0.5</v>
      </c>
      <c r="M166">
        <v>0.5</v>
      </c>
      <c r="N166">
        <v>0.5</v>
      </c>
      <c r="O166">
        <v>9</v>
      </c>
      <c r="P166">
        <v>3</v>
      </c>
    </row>
    <row r="167" spans="1:16" ht="15" thickBot="1" x14ac:dyDescent="0.35">
      <c r="A167" s="48"/>
      <c r="B167" s="50"/>
      <c r="C167" s="51"/>
      <c r="G167" s="5">
        <v>43009</v>
      </c>
      <c r="H167">
        <v>1</v>
      </c>
      <c r="I167">
        <v>0.5</v>
      </c>
      <c r="J167">
        <v>0.5</v>
      </c>
      <c r="K167">
        <v>0.5</v>
      </c>
      <c r="L167">
        <v>0.5</v>
      </c>
      <c r="M167">
        <v>0.5</v>
      </c>
      <c r="N167">
        <v>1</v>
      </c>
      <c r="O167">
        <v>13</v>
      </c>
      <c r="P167">
        <v>4</v>
      </c>
    </row>
    <row r="168" spans="1:16" x14ac:dyDescent="0.3">
      <c r="G168" s="5">
        <v>43040</v>
      </c>
      <c r="H168">
        <v>3</v>
      </c>
      <c r="I168">
        <v>1</v>
      </c>
      <c r="J168">
        <v>0.5</v>
      </c>
      <c r="K168">
        <v>0.5</v>
      </c>
      <c r="L168">
        <v>0.5</v>
      </c>
      <c r="M168">
        <v>1</v>
      </c>
      <c r="N168">
        <v>1</v>
      </c>
      <c r="O168">
        <v>16</v>
      </c>
      <c r="P168">
        <v>6</v>
      </c>
    </row>
    <row r="169" spans="1:16" x14ac:dyDescent="0.3">
      <c r="G169" s="5">
        <v>43070</v>
      </c>
      <c r="H169">
        <v>3</v>
      </c>
      <c r="I169">
        <v>1</v>
      </c>
      <c r="J169">
        <v>1</v>
      </c>
      <c r="K169">
        <v>0.5</v>
      </c>
      <c r="L169">
        <v>0.5</v>
      </c>
      <c r="M169">
        <v>1</v>
      </c>
      <c r="N169">
        <v>1</v>
      </c>
      <c r="O169">
        <v>16</v>
      </c>
      <c r="P169">
        <v>10</v>
      </c>
    </row>
    <row r="170" spans="1:16" x14ac:dyDescent="0.3">
      <c r="G170" s="5">
        <v>43101</v>
      </c>
      <c r="H170">
        <v>3</v>
      </c>
      <c r="I170">
        <v>1</v>
      </c>
      <c r="J170">
        <v>2</v>
      </c>
      <c r="K170">
        <v>0.5</v>
      </c>
      <c r="L170">
        <v>1</v>
      </c>
      <c r="M170">
        <v>2</v>
      </c>
      <c r="N170">
        <v>3</v>
      </c>
      <c r="O170">
        <v>17</v>
      </c>
      <c r="P170">
        <v>13</v>
      </c>
    </row>
    <row r="171" spans="1:16" x14ac:dyDescent="0.3">
      <c r="G171" s="5">
        <v>43132</v>
      </c>
      <c r="H171">
        <v>96</v>
      </c>
      <c r="I171">
        <v>21</v>
      </c>
      <c r="J171">
        <v>16</v>
      </c>
      <c r="K171">
        <v>1</v>
      </c>
      <c r="L171">
        <v>7</v>
      </c>
      <c r="M171">
        <v>17</v>
      </c>
      <c r="N171">
        <v>30</v>
      </c>
      <c r="O171">
        <v>21</v>
      </c>
      <c r="P171">
        <v>55</v>
      </c>
    </row>
    <row r="172" spans="1:16" x14ac:dyDescent="0.3">
      <c r="G172" s="5">
        <v>43160</v>
      </c>
      <c r="H172">
        <v>5</v>
      </c>
      <c r="I172">
        <v>1</v>
      </c>
      <c r="J172">
        <v>1</v>
      </c>
      <c r="K172">
        <v>0.5</v>
      </c>
      <c r="L172">
        <v>0.5</v>
      </c>
      <c r="M172">
        <v>1</v>
      </c>
      <c r="N172">
        <v>1</v>
      </c>
      <c r="O172">
        <v>18</v>
      </c>
      <c r="P172">
        <v>6</v>
      </c>
    </row>
    <row r="173" spans="1:16" x14ac:dyDescent="0.3">
      <c r="G173" s="5">
        <v>43191</v>
      </c>
      <c r="H173">
        <v>2</v>
      </c>
      <c r="I173">
        <v>0.5</v>
      </c>
      <c r="J173">
        <v>0.5</v>
      </c>
      <c r="K173">
        <v>0.5</v>
      </c>
      <c r="L173">
        <v>0.5</v>
      </c>
      <c r="M173">
        <v>0.5</v>
      </c>
      <c r="N173">
        <v>0.5</v>
      </c>
      <c r="O173">
        <v>11</v>
      </c>
      <c r="P173">
        <v>2</v>
      </c>
    </row>
    <row r="174" spans="1:16" x14ac:dyDescent="0.3">
      <c r="G174" s="5">
        <v>43221</v>
      </c>
      <c r="H174">
        <v>1</v>
      </c>
      <c r="I174">
        <v>0.5</v>
      </c>
      <c r="J174">
        <v>0.5</v>
      </c>
      <c r="K174">
        <v>0.5</v>
      </c>
      <c r="L174">
        <v>0.5</v>
      </c>
      <c r="M174">
        <v>0.5</v>
      </c>
      <c r="N174">
        <v>0.5</v>
      </c>
      <c r="O174">
        <v>8</v>
      </c>
      <c r="P174">
        <v>2</v>
      </c>
    </row>
    <row r="175" spans="1:16" x14ac:dyDescent="0.3">
      <c r="G175" s="5">
        <v>43252</v>
      </c>
      <c r="H175">
        <v>1</v>
      </c>
      <c r="I175">
        <v>0.5</v>
      </c>
      <c r="J175">
        <v>0.5</v>
      </c>
      <c r="K175">
        <v>0.5</v>
      </c>
      <c r="L175">
        <v>0.5</v>
      </c>
      <c r="M175">
        <v>0.5</v>
      </c>
      <c r="N175">
        <v>1</v>
      </c>
      <c r="O175">
        <v>6</v>
      </c>
      <c r="P175">
        <v>1</v>
      </c>
    </row>
    <row r="176" spans="1:16" x14ac:dyDescent="0.3">
      <c r="G176" s="5">
        <v>43282</v>
      </c>
      <c r="H176">
        <v>1</v>
      </c>
      <c r="I176">
        <v>0.5</v>
      </c>
      <c r="J176">
        <v>0.5</v>
      </c>
      <c r="K176">
        <v>0.5</v>
      </c>
      <c r="L176">
        <v>0.5</v>
      </c>
      <c r="M176">
        <v>0.5</v>
      </c>
      <c r="N176">
        <v>1</v>
      </c>
      <c r="O176">
        <v>5</v>
      </c>
      <c r="P176">
        <v>2</v>
      </c>
    </row>
    <row r="177" spans="7:16" x14ac:dyDescent="0.3">
      <c r="G177" s="5">
        <v>43313</v>
      </c>
      <c r="H177">
        <v>1</v>
      </c>
      <c r="I177">
        <v>0.5</v>
      </c>
      <c r="J177">
        <v>0.5</v>
      </c>
      <c r="K177">
        <v>0.5</v>
      </c>
      <c r="L177">
        <v>0.5</v>
      </c>
      <c r="M177">
        <v>0.5</v>
      </c>
      <c r="N177">
        <v>0.5</v>
      </c>
      <c r="O177">
        <v>6</v>
      </c>
      <c r="P177">
        <v>2</v>
      </c>
    </row>
    <row r="178" spans="7:16" x14ac:dyDescent="0.3">
      <c r="G178" s="5">
        <v>43344</v>
      </c>
      <c r="H178">
        <v>1</v>
      </c>
      <c r="I178">
        <v>0.5</v>
      </c>
      <c r="J178">
        <v>0.5</v>
      </c>
      <c r="K178">
        <v>0</v>
      </c>
      <c r="L178">
        <v>0.5</v>
      </c>
      <c r="M178">
        <v>0.5</v>
      </c>
      <c r="N178">
        <v>0.5</v>
      </c>
      <c r="O178">
        <v>8</v>
      </c>
      <c r="P178">
        <v>2</v>
      </c>
    </row>
    <row r="179" spans="7:16" x14ac:dyDescent="0.3">
      <c r="G179" s="5">
        <v>43374</v>
      </c>
      <c r="H179">
        <v>1</v>
      </c>
      <c r="I179">
        <v>0.5</v>
      </c>
      <c r="J179">
        <v>0.5</v>
      </c>
      <c r="K179">
        <v>0.5</v>
      </c>
      <c r="L179">
        <v>0.5</v>
      </c>
      <c r="M179">
        <v>0.5</v>
      </c>
      <c r="N179">
        <v>0.5</v>
      </c>
      <c r="O179">
        <v>12</v>
      </c>
      <c r="P179">
        <v>3</v>
      </c>
    </row>
    <row r="180" spans="7:16" x14ac:dyDescent="0.3">
      <c r="G180" s="5">
        <v>43405</v>
      </c>
      <c r="H180">
        <v>2</v>
      </c>
      <c r="I180">
        <v>0.5</v>
      </c>
      <c r="J180">
        <v>0.5</v>
      </c>
      <c r="K180">
        <v>0.5</v>
      </c>
      <c r="L180">
        <v>0.5</v>
      </c>
      <c r="M180">
        <v>1</v>
      </c>
      <c r="N180">
        <v>0.5</v>
      </c>
      <c r="O180">
        <v>14</v>
      </c>
      <c r="P180">
        <v>6</v>
      </c>
    </row>
    <row r="181" spans="7:16" x14ac:dyDescent="0.3">
      <c r="G181" s="5">
        <v>43435</v>
      </c>
      <c r="H181">
        <v>2</v>
      </c>
      <c r="I181">
        <v>1</v>
      </c>
      <c r="J181">
        <v>0.5</v>
      </c>
      <c r="K181">
        <v>0.5</v>
      </c>
      <c r="L181">
        <v>0.5</v>
      </c>
      <c r="M181">
        <v>1</v>
      </c>
      <c r="N181">
        <v>1</v>
      </c>
      <c r="O181">
        <v>16</v>
      </c>
      <c r="P181">
        <v>11</v>
      </c>
    </row>
    <row r="182" spans="7:16" x14ac:dyDescent="0.3">
      <c r="G182" s="5">
        <v>43466</v>
      </c>
      <c r="H182">
        <v>2</v>
      </c>
      <c r="I182">
        <v>0.5</v>
      </c>
      <c r="J182">
        <v>0.5</v>
      </c>
      <c r="K182">
        <v>0.5</v>
      </c>
      <c r="L182">
        <v>0.5</v>
      </c>
      <c r="M182">
        <v>1</v>
      </c>
      <c r="N182">
        <v>1</v>
      </c>
      <c r="O182">
        <v>16</v>
      </c>
      <c r="P182">
        <v>11</v>
      </c>
    </row>
    <row r="183" spans="7:16" x14ac:dyDescent="0.3">
      <c r="G183" s="5">
        <v>43497</v>
      </c>
      <c r="H183">
        <v>2</v>
      </c>
      <c r="I183">
        <v>0.5</v>
      </c>
      <c r="J183">
        <v>0.5</v>
      </c>
      <c r="K183">
        <v>0.5</v>
      </c>
      <c r="L183">
        <v>0.5</v>
      </c>
      <c r="M183">
        <v>1</v>
      </c>
      <c r="N183">
        <v>1</v>
      </c>
      <c r="O183">
        <v>19</v>
      </c>
      <c r="P183">
        <v>8</v>
      </c>
    </row>
    <row r="184" spans="7:16" x14ac:dyDescent="0.3">
      <c r="G184" s="5">
        <v>43525</v>
      </c>
      <c r="H184">
        <v>2</v>
      </c>
      <c r="I184">
        <v>0.5</v>
      </c>
      <c r="J184">
        <v>0.5</v>
      </c>
      <c r="K184">
        <v>0.5</v>
      </c>
      <c r="L184">
        <v>0.5</v>
      </c>
      <c r="M184">
        <v>1</v>
      </c>
      <c r="N184">
        <v>1</v>
      </c>
      <c r="O184">
        <v>19</v>
      </c>
      <c r="P184">
        <v>5</v>
      </c>
    </row>
    <row r="185" spans="7:16" x14ac:dyDescent="0.3">
      <c r="G185" s="5">
        <v>43556</v>
      </c>
      <c r="H185">
        <v>2</v>
      </c>
      <c r="I185">
        <v>0.5</v>
      </c>
      <c r="J185">
        <v>0.5</v>
      </c>
      <c r="K185">
        <v>0.5</v>
      </c>
      <c r="L185">
        <v>0.5</v>
      </c>
      <c r="M185">
        <v>0.5</v>
      </c>
      <c r="N185">
        <v>0.5</v>
      </c>
      <c r="O185">
        <v>10</v>
      </c>
      <c r="P185">
        <v>2</v>
      </c>
    </row>
    <row r="186" spans="7:16" x14ac:dyDescent="0.3">
      <c r="G186" s="5">
        <v>43586</v>
      </c>
      <c r="H186">
        <v>1</v>
      </c>
      <c r="I186">
        <v>0.5</v>
      </c>
      <c r="J186">
        <v>0.5</v>
      </c>
      <c r="K186">
        <v>0</v>
      </c>
      <c r="L186">
        <v>0.5</v>
      </c>
      <c r="M186">
        <v>0.5</v>
      </c>
      <c r="N186">
        <v>0.5</v>
      </c>
      <c r="O186">
        <v>8</v>
      </c>
      <c r="P186">
        <v>1</v>
      </c>
    </row>
    <row r="187" spans="7:16" x14ac:dyDescent="0.3">
      <c r="G187" s="5">
        <v>43617</v>
      </c>
      <c r="H187">
        <v>1</v>
      </c>
      <c r="I187">
        <v>0.5</v>
      </c>
      <c r="J187">
        <v>0.5</v>
      </c>
      <c r="K187">
        <v>0.5</v>
      </c>
      <c r="L187">
        <v>0.5</v>
      </c>
      <c r="M187">
        <v>0.5</v>
      </c>
      <c r="N187">
        <v>0.5</v>
      </c>
      <c r="O187">
        <v>6</v>
      </c>
      <c r="P187">
        <v>1</v>
      </c>
    </row>
    <row r="188" spans="7:16" x14ac:dyDescent="0.3">
      <c r="G188" s="5">
        <v>43647</v>
      </c>
      <c r="H188">
        <v>1</v>
      </c>
      <c r="I188">
        <v>0.5</v>
      </c>
      <c r="J188">
        <v>0.5</v>
      </c>
      <c r="K188">
        <v>0.5</v>
      </c>
      <c r="L188">
        <v>0.5</v>
      </c>
      <c r="M188">
        <v>0.5</v>
      </c>
      <c r="N188">
        <v>0.5</v>
      </c>
      <c r="O188">
        <v>5</v>
      </c>
      <c r="P188">
        <v>1</v>
      </c>
    </row>
    <row r="189" spans="7:16" x14ac:dyDescent="0.3">
      <c r="G189" s="5">
        <v>43678</v>
      </c>
      <c r="H189">
        <v>1</v>
      </c>
      <c r="I189">
        <v>0.5</v>
      </c>
      <c r="J189">
        <v>0.5</v>
      </c>
      <c r="K189">
        <v>0.5</v>
      </c>
      <c r="L189">
        <v>0.5</v>
      </c>
      <c r="M189">
        <v>0.5</v>
      </c>
      <c r="N189">
        <v>0.5</v>
      </c>
      <c r="O189">
        <v>6</v>
      </c>
      <c r="P189">
        <v>2</v>
      </c>
    </row>
    <row r="190" spans="7:16" x14ac:dyDescent="0.3">
      <c r="G190" s="5">
        <v>43709</v>
      </c>
      <c r="H190">
        <v>1</v>
      </c>
      <c r="I190">
        <v>0.5</v>
      </c>
      <c r="J190">
        <v>0.5</v>
      </c>
      <c r="K190">
        <v>0.5</v>
      </c>
      <c r="L190">
        <v>0.5</v>
      </c>
      <c r="M190">
        <v>0.5</v>
      </c>
      <c r="N190">
        <v>0.5</v>
      </c>
      <c r="O190">
        <v>8</v>
      </c>
      <c r="P190">
        <v>3</v>
      </c>
    </row>
    <row r="191" spans="7:16" x14ac:dyDescent="0.3">
      <c r="G191" s="5">
        <v>43739</v>
      </c>
      <c r="H191">
        <v>1</v>
      </c>
      <c r="I191">
        <v>0.5</v>
      </c>
      <c r="J191">
        <v>0.5</v>
      </c>
      <c r="K191">
        <v>0.5</v>
      </c>
      <c r="L191">
        <v>0.5</v>
      </c>
      <c r="M191">
        <v>0.5</v>
      </c>
      <c r="N191">
        <v>0.5</v>
      </c>
      <c r="O191">
        <v>12</v>
      </c>
      <c r="P191">
        <v>3</v>
      </c>
    </row>
    <row r="192" spans="7:16" x14ac:dyDescent="0.3">
      <c r="G192" s="5">
        <v>43770</v>
      </c>
      <c r="H192">
        <v>1</v>
      </c>
      <c r="I192">
        <v>0.5</v>
      </c>
      <c r="J192">
        <v>0.5</v>
      </c>
      <c r="K192">
        <v>0.5</v>
      </c>
      <c r="L192">
        <v>0.5</v>
      </c>
      <c r="M192">
        <v>1</v>
      </c>
      <c r="N192">
        <v>0.5</v>
      </c>
      <c r="O192">
        <v>15</v>
      </c>
      <c r="P192">
        <v>5</v>
      </c>
    </row>
    <row r="193" spans="7:16" x14ac:dyDescent="0.3">
      <c r="G193" s="5">
        <v>43800</v>
      </c>
      <c r="H193">
        <v>1</v>
      </c>
      <c r="I193">
        <v>0.5</v>
      </c>
      <c r="J193">
        <v>0.5</v>
      </c>
      <c r="K193">
        <v>0.5</v>
      </c>
      <c r="L193">
        <v>0.5</v>
      </c>
      <c r="M193">
        <v>1</v>
      </c>
      <c r="N193">
        <v>1</v>
      </c>
      <c r="O193">
        <v>16</v>
      </c>
      <c r="P193">
        <v>11</v>
      </c>
    </row>
    <row r="194" spans="7:16" x14ac:dyDescent="0.3">
      <c r="G194" s="5">
        <v>43831</v>
      </c>
      <c r="H194">
        <v>2</v>
      </c>
      <c r="I194">
        <v>0.5</v>
      </c>
      <c r="J194">
        <v>0.5</v>
      </c>
      <c r="K194">
        <v>0.5</v>
      </c>
      <c r="L194">
        <v>0.5</v>
      </c>
      <c r="M194">
        <v>1</v>
      </c>
      <c r="N194">
        <v>1</v>
      </c>
      <c r="O194">
        <v>17</v>
      </c>
      <c r="P194">
        <v>10</v>
      </c>
    </row>
    <row r="195" spans="7:16" x14ac:dyDescent="0.3">
      <c r="G195" s="5">
        <v>43862</v>
      </c>
      <c r="H195">
        <v>2</v>
      </c>
      <c r="I195">
        <v>0.5</v>
      </c>
      <c r="J195">
        <v>0.5</v>
      </c>
      <c r="K195">
        <v>0.5</v>
      </c>
      <c r="L195">
        <v>0.5</v>
      </c>
      <c r="M195">
        <v>1</v>
      </c>
      <c r="N195">
        <v>1</v>
      </c>
      <c r="O195">
        <v>20</v>
      </c>
      <c r="P195">
        <v>7</v>
      </c>
    </row>
    <row r="196" spans="7:16" x14ac:dyDescent="0.3">
      <c r="G196" s="5">
        <v>43891</v>
      </c>
      <c r="H196">
        <v>1</v>
      </c>
      <c r="I196">
        <v>0.5</v>
      </c>
      <c r="J196">
        <v>0.5</v>
      </c>
      <c r="K196">
        <v>0.5</v>
      </c>
      <c r="L196">
        <v>0.5</v>
      </c>
      <c r="M196">
        <v>0.5</v>
      </c>
      <c r="N196">
        <v>1</v>
      </c>
      <c r="O196">
        <v>13</v>
      </c>
      <c r="P196">
        <v>3</v>
      </c>
    </row>
    <row r="197" spans="7:16" x14ac:dyDescent="0.3">
      <c r="G197" s="5">
        <v>43922</v>
      </c>
      <c r="H197">
        <v>1</v>
      </c>
      <c r="I197">
        <v>0.5</v>
      </c>
      <c r="J197">
        <v>0.5</v>
      </c>
      <c r="K197">
        <v>0.5</v>
      </c>
      <c r="L197">
        <v>0.5</v>
      </c>
      <c r="M197">
        <v>0.5</v>
      </c>
      <c r="N197">
        <v>1</v>
      </c>
      <c r="O197">
        <v>4</v>
      </c>
      <c r="P197">
        <v>2</v>
      </c>
    </row>
    <row r="198" spans="7:16" x14ac:dyDescent="0.3">
      <c r="G198" s="5">
        <v>43952</v>
      </c>
      <c r="H198">
        <v>1</v>
      </c>
      <c r="I198">
        <v>0.5</v>
      </c>
      <c r="J198">
        <v>0.5</v>
      </c>
      <c r="K198">
        <v>0.5</v>
      </c>
      <c r="L198">
        <v>0.5</v>
      </c>
      <c r="M198">
        <v>0.5</v>
      </c>
      <c r="N198">
        <v>1</v>
      </c>
      <c r="O198">
        <v>4</v>
      </c>
      <c r="P198">
        <v>1</v>
      </c>
    </row>
    <row r="199" spans="7:16" x14ac:dyDescent="0.3">
      <c r="G199" s="5">
        <v>43983</v>
      </c>
      <c r="H199">
        <v>1</v>
      </c>
      <c r="I199">
        <v>0.5</v>
      </c>
      <c r="J199">
        <v>0.5</v>
      </c>
      <c r="K199">
        <v>0.5</v>
      </c>
      <c r="L199">
        <v>0.5</v>
      </c>
      <c r="M199">
        <v>0.5</v>
      </c>
      <c r="N199">
        <v>0.5</v>
      </c>
      <c r="O199">
        <v>4</v>
      </c>
      <c r="P199">
        <v>1</v>
      </c>
    </row>
    <row r="200" spans="7:16" x14ac:dyDescent="0.3">
      <c r="G200" s="5">
        <v>44013</v>
      </c>
      <c r="H200">
        <v>1</v>
      </c>
      <c r="I200">
        <v>0.5</v>
      </c>
      <c r="J200">
        <v>0.5</v>
      </c>
      <c r="K200">
        <v>0.5</v>
      </c>
      <c r="L200">
        <v>0.5</v>
      </c>
      <c r="M200">
        <v>0.5</v>
      </c>
      <c r="N200">
        <v>0.5</v>
      </c>
      <c r="O200">
        <v>5</v>
      </c>
      <c r="P200">
        <v>2</v>
      </c>
    </row>
    <row r="201" spans="7:16" x14ac:dyDescent="0.3">
      <c r="G201" s="5">
        <v>44044</v>
      </c>
      <c r="H201">
        <v>1</v>
      </c>
      <c r="I201">
        <v>0.5</v>
      </c>
      <c r="J201">
        <v>0.5</v>
      </c>
      <c r="K201">
        <v>0.5</v>
      </c>
      <c r="L201">
        <v>0.5</v>
      </c>
      <c r="M201">
        <v>0.5</v>
      </c>
      <c r="N201">
        <v>0.5</v>
      </c>
      <c r="O201">
        <v>7</v>
      </c>
      <c r="P201">
        <v>2</v>
      </c>
    </row>
    <row r="202" spans="7:16" x14ac:dyDescent="0.3">
      <c r="G202" s="5">
        <v>44075</v>
      </c>
      <c r="H202">
        <v>1</v>
      </c>
      <c r="I202">
        <v>0.5</v>
      </c>
      <c r="J202">
        <v>0.5</v>
      </c>
      <c r="K202">
        <v>0.5</v>
      </c>
      <c r="L202">
        <v>0.5</v>
      </c>
      <c r="M202">
        <v>0.5</v>
      </c>
      <c r="N202">
        <v>0.5</v>
      </c>
      <c r="O202">
        <v>8</v>
      </c>
      <c r="P202">
        <v>3</v>
      </c>
    </row>
    <row r="203" spans="7:16" x14ac:dyDescent="0.3">
      <c r="G203" s="5">
        <v>44105</v>
      </c>
      <c r="H203">
        <v>1</v>
      </c>
      <c r="I203">
        <v>0.5</v>
      </c>
      <c r="J203">
        <v>0.5</v>
      </c>
      <c r="K203">
        <v>0.5</v>
      </c>
      <c r="L203">
        <v>0.5</v>
      </c>
      <c r="M203">
        <v>0.5</v>
      </c>
      <c r="N203">
        <v>0.5</v>
      </c>
      <c r="O203">
        <v>7</v>
      </c>
      <c r="P203">
        <v>3</v>
      </c>
    </row>
    <row r="204" spans="7:16" x14ac:dyDescent="0.3">
      <c r="G204" s="5">
        <v>44136</v>
      </c>
      <c r="H204">
        <v>1</v>
      </c>
      <c r="I204">
        <v>0.5</v>
      </c>
      <c r="J204">
        <v>0.5</v>
      </c>
      <c r="K204">
        <v>0.5</v>
      </c>
      <c r="L204">
        <v>0.5</v>
      </c>
      <c r="M204">
        <v>1</v>
      </c>
      <c r="N204">
        <v>0.5</v>
      </c>
      <c r="O204">
        <v>6</v>
      </c>
      <c r="P204">
        <v>5</v>
      </c>
    </row>
    <row r="205" spans="7:16" x14ac:dyDescent="0.3">
      <c r="G205" s="5">
        <v>44166</v>
      </c>
      <c r="H205">
        <v>1</v>
      </c>
      <c r="I205">
        <v>0.5</v>
      </c>
      <c r="J205">
        <v>0.5</v>
      </c>
      <c r="K205">
        <v>0.5</v>
      </c>
      <c r="L205">
        <v>0.5</v>
      </c>
      <c r="M205">
        <v>1</v>
      </c>
      <c r="N205">
        <v>1</v>
      </c>
      <c r="O205">
        <v>6</v>
      </c>
      <c r="P205">
        <v>12</v>
      </c>
    </row>
    <row r="206" spans="7:16" x14ac:dyDescent="0.3">
      <c r="G206" s="5">
        <v>44197</v>
      </c>
      <c r="H206">
        <v>1</v>
      </c>
      <c r="I206">
        <v>0.5</v>
      </c>
      <c r="J206">
        <v>0.5</v>
      </c>
      <c r="K206">
        <v>0.5</v>
      </c>
      <c r="L206">
        <v>0.5</v>
      </c>
      <c r="M206">
        <v>1</v>
      </c>
      <c r="N206">
        <v>1</v>
      </c>
      <c r="O206">
        <v>10</v>
      </c>
      <c r="P206">
        <v>15</v>
      </c>
    </row>
    <row r="207" spans="7:16" x14ac:dyDescent="0.3">
      <c r="G207" s="5">
        <v>44228</v>
      </c>
      <c r="H207">
        <v>1</v>
      </c>
      <c r="I207">
        <v>1</v>
      </c>
      <c r="J207">
        <v>0.5</v>
      </c>
      <c r="K207">
        <v>0.5</v>
      </c>
      <c r="L207">
        <v>0.5</v>
      </c>
      <c r="M207">
        <v>1</v>
      </c>
      <c r="N207">
        <v>1</v>
      </c>
      <c r="O207">
        <v>12</v>
      </c>
      <c r="P207">
        <v>12</v>
      </c>
    </row>
    <row r="208" spans="7:16" x14ac:dyDescent="0.3">
      <c r="G208" s="5">
        <v>44256</v>
      </c>
      <c r="H208">
        <v>1</v>
      </c>
      <c r="I208">
        <v>0.5</v>
      </c>
      <c r="J208">
        <v>0.5</v>
      </c>
      <c r="K208">
        <v>0.5</v>
      </c>
      <c r="L208">
        <v>0.5</v>
      </c>
      <c r="M208">
        <v>1</v>
      </c>
      <c r="N208">
        <v>0.5</v>
      </c>
      <c r="O208">
        <v>13</v>
      </c>
      <c r="P208">
        <v>5</v>
      </c>
    </row>
    <row r="209" spans="7:16" x14ac:dyDescent="0.3">
      <c r="G209" s="5">
        <v>44287</v>
      </c>
      <c r="H209">
        <v>2</v>
      </c>
      <c r="I209">
        <v>0.5</v>
      </c>
      <c r="J209">
        <v>0.5</v>
      </c>
      <c r="K209">
        <v>0.5</v>
      </c>
      <c r="L209">
        <v>0.5</v>
      </c>
      <c r="M209">
        <v>0.5</v>
      </c>
      <c r="N209">
        <v>0.5</v>
      </c>
      <c r="O209">
        <v>9</v>
      </c>
      <c r="P209">
        <v>2</v>
      </c>
    </row>
    <row r="210" spans="7:16" x14ac:dyDescent="0.3">
      <c r="G210" s="5">
        <v>44317</v>
      </c>
      <c r="H210">
        <v>2</v>
      </c>
      <c r="I210">
        <v>0.5</v>
      </c>
      <c r="J210">
        <v>0.5</v>
      </c>
      <c r="K210">
        <v>0</v>
      </c>
      <c r="L210">
        <v>0.5</v>
      </c>
      <c r="M210">
        <v>0.5</v>
      </c>
      <c r="N210">
        <v>0.5</v>
      </c>
      <c r="O210">
        <v>6</v>
      </c>
      <c r="P210">
        <v>2</v>
      </c>
    </row>
    <row r="211" spans="7:16" x14ac:dyDescent="0.3">
      <c r="G211" s="5">
        <v>44348</v>
      </c>
      <c r="H211">
        <v>1</v>
      </c>
      <c r="I211">
        <v>0.5</v>
      </c>
      <c r="J211">
        <v>0.5</v>
      </c>
      <c r="K211">
        <v>0.5</v>
      </c>
      <c r="L211">
        <v>0.5</v>
      </c>
      <c r="M211">
        <v>0.5</v>
      </c>
      <c r="N211">
        <v>0.5</v>
      </c>
      <c r="O211">
        <v>6</v>
      </c>
      <c r="P211">
        <v>1</v>
      </c>
    </row>
    <row r="212" spans="7:16" x14ac:dyDescent="0.3">
      <c r="G212" s="5">
        <v>44378</v>
      </c>
      <c r="H212">
        <v>1</v>
      </c>
      <c r="I212">
        <v>0.5</v>
      </c>
      <c r="J212">
        <v>0.5</v>
      </c>
      <c r="K212">
        <v>0.5</v>
      </c>
      <c r="L212">
        <v>0.5</v>
      </c>
      <c r="M212">
        <v>0.5</v>
      </c>
      <c r="N212">
        <v>1</v>
      </c>
      <c r="O212">
        <v>5</v>
      </c>
      <c r="P212">
        <v>2</v>
      </c>
    </row>
    <row r="213" spans="7:16" x14ac:dyDescent="0.3">
      <c r="G213" s="5">
        <v>44409</v>
      </c>
      <c r="H213">
        <v>1</v>
      </c>
      <c r="I213">
        <v>0.5</v>
      </c>
      <c r="J213">
        <v>0.5</v>
      </c>
      <c r="K213">
        <v>0.5</v>
      </c>
      <c r="L213">
        <v>0.5</v>
      </c>
      <c r="M213">
        <v>0.5</v>
      </c>
      <c r="N213">
        <v>1</v>
      </c>
      <c r="O213">
        <v>5</v>
      </c>
      <c r="P213">
        <v>2</v>
      </c>
    </row>
    <row r="214" spans="7:16" x14ac:dyDescent="0.3">
      <c r="G214" s="5">
        <v>44440</v>
      </c>
      <c r="H214">
        <v>1</v>
      </c>
      <c r="I214">
        <v>0.5</v>
      </c>
      <c r="J214">
        <v>0.5</v>
      </c>
      <c r="K214">
        <v>0.5</v>
      </c>
      <c r="L214">
        <v>0.5</v>
      </c>
      <c r="M214">
        <v>0.5</v>
      </c>
      <c r="N214">
        <v>0.5</v>
      </c>
      <c r="O214">
        <v>6</v>
      </c>
      <c r="P214">
        <v>3</v>
      </c>
    </row>
    <row r="215" spans="7:16" x14ac:dyDescent="0.3">
      <c r="G215" s="5">
        <v>44470</v>
      </c>
      <c r="H215">
        <v>1</v>
      </c>
      <c r="I215">
        <v>0.5</v>
      </c>
      <c r="J215">
        <v>0.5</v>
      </c>
      <c r="K215">
        <v>0.5</v>
      </c>
      <c r="L215">
        <v>0.5</v>
      </c>
      <c r="M215">
        <v>0.5</v>
      </c>
      <c r="N215">
        <v>0.5</v>
      </c>
      <c r="O215">
        <v>9</v>
      </c>
      <c r="P215">
        <v>4</v>
      </c>
    </row>
    <row r="216" spans="7:16" x14ac:dyDescent="0.3">
      <c r="G216" s="5">
        <v>44501</v>
      </c>
      <c r="H216">
        <v>2</v>
      </c>
      <c r="I216">
        <v>0.5</v>
      </c>
      <c r="J216">
        <v>0.5</v>
      </c>
      <c r="K216">
        <v>0.5</v>
      </c>
      <c r="L216">
        <v>0.5</v>
      </c>
      <c r="M216">
        <v>1</v>
      </c>
      <c r="N216">
        <v>1</v>
      </c>
      <c r="O216">
        <v>13</v>
      </c>
      <c r="P216">
        <v>6</v>
      </c>
    </row>
    <row r="217" spans="7:16" x14ac:dyDescent="0.3">
      <c r="G217" s="5">
        <v>44531</v>
      </c>
      <c r="H217">
        <v>1</v>
      </c>
      <c r="I217">
        <v>0.5</v>
      </c>
      <c r="J217">
        <v>1</v>
      </c>
      <c r="K217">
        <v>0.5</v>
      </c>
      <c r="L217">
        <v>0.5</v>
      </c>
      <c r="M217">
        <v>1</v>
      </c>
      <c r="N217">
        <v>1</v>
      </c>
      <c r="O217">
        <v>13</v>
      </c>
      <c r="P217">
        <v>11</v>
      </c>
    </row>
    <row r="218" spans="7:16" x14ac:dyDescent="0.3">
      <c r="G218" s="5">
        <v>44562</v>
      </c>
      <c r="H218">
        <v>2</v>
      </c>
      <c r="I218">
        <v>1</v>
      </c>
      <c r="J218">
        <v>1</v>
      </c>
      <c r="K218">
        <v>0.5</v>
      </c>
      <c r="L218">
        <v>0.5</v>
      </c>
      <c r="M218">
        <v>1</v>
      </c>
      <c r="N218">
        <v>2</v>
      </c>
      <c r="O218">
        <v>14</v>
      </c>
      <c r="P218">
        <v>14</v>
      </c>
    </row>
    <row r="219" spans="7:16" x14ac:dyDescent="0.3">
      <c r="G219" s="5">
        <v>44593</v>
      </c>
      <c r="H219">
        <v>48</v>
      </c>
      <c r="I219">
        <v>7</v>
      </c>
      <c r="J219">
        <v>6</v>
      </c>
      <c r="K219">
        <v>1</v>
      </c>
      <c r="L219">
        <v>4</v>
      </c>
      <c r="M219">
        <v>7</v>
      </c>
      <c r="N219">
        <v>15</v>
      </c>
      <c r="O219">
        <v>17</v>
      </c>
      <c r="P219">
        <v>29</v>
      </c>
    </row>
    <row r="220" spans="7:16" x14ac:dyDescent="0.3">
      <c r="G220" s="5">
        <v>44621</v>
      </c>
      <c r="H220">
        <v>2</v>
      </c>
      <c r="I220">
        <v>1</v>
      </c>
      <c r="J220">
        <v>0.5</v>
      </c>
      <c r="K220">
        <v>0.5</v>
      </c>
      <c r="L220">
        <v>0.5</v>
      </c>
      <c r="M220">
        <v>1</v>
      </c>
      <c r="N220">
        <v>0.5</v>
      </c>
      <c r="O220">
        <v>17</v>
      </c>
      <c r="P220">
        <v>4</v>
      </c>
    </row>
  </sheetData>
  <mergeCells count="37">
    <mergeCell ref="A141:C142"/>
    <mergeCell ref="A143:A146"/>
    <mergeCell ref="B143:C146"/>
    <mergeCell ref="A166:A167"/>
    <mergeCell ref="B166:C167"/>
    <mergeCell ref="A115:C116"/>
    <mergeCell ref="A117:A119"/>
    <mergeCell ref="B117:C119"/>
    <mergeCell ref="A138:A139"/>
    <mergeCell ref="B138:B139"/>
    <mergeCell ref="C138:C139"/>
    <mergeCell ref="A85:A86"/>
    <mergeCell ref="B85:C86"/>
    <mergeCell ref="A105:A106"/>
    <mergeCell ref="B105:C106"/>
    <mergeCell ref="A107:C113"/>
    <mergeCell ref="B56:C57"/>
    <mergeCell ref="A76:A78"/>
    <mergeCell ref="B76:C78"/>
    <mergeCell ref="A79:C84"/>
    <mergeCell ref="B47:C47"/>
    <mergeCell ref="A43:C46"/>
    <mergeCell ref="A48:C52"/>
    <mergeCell ref="A54:C55"/>
    <mergeCell ref="A56:A57"/>
    <mergeCell ref="A1:C2"/>
    <mergeCell ref="A3:C4"/>
    <mergeCell ref="A5:A6"/>
    <mergeCell ref="B5:C6"/>
    <mergeCell ref="A25:A26"/>
    <mergeCell ref="B25:C26"/>
    <mergeCell ref="A27:C33"/>
    <mergeCell ref="A36:C40"/>
    <mergeCell ref="B34:C34"/>
    <mergeCell ref="B35:C35"/>
    <mergeCell ref="A41:A42"/>
    <mergeCell ref="B41:C42"/>
  </mergeCells>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E0705-1335-4188-9F6C-37FC42635DA0}">
  <dimension ref="A1:B17"/>
  <sheetViews>
    <sheetView zoomScale="112" zoomScaleNormal="100" workbookViewId="0">
      <selection activeCell="B14" sqref="B14"/>
    </sheetView>
  </sheetViews>
  <sheetFormatPr defaultColWidth="11.5546875" defaultRowHeight="14.4" x14ac:dyDescent="0.3"/>
  <cols>
    <col min="1" max="1" width="19.21875" customWidth="1"/>
    <col min="2" max="2" width="18.77734375" bestFit="1" customWidth="1"/>
    <col min="3" max="119" width="10.77734375" customWidth="1"/>
  </cols>
  <sheetData>
    <row r="1" spans="1:2" x14ac:dyDescent="0.3">
      <c r="A1" s="11" t="s">
        <v>51</v>
      </c>
      <c r="B1" s="11" t="s">
        <v>52</v>
      </c>
    </row>
    <row r="2" spans="1:2" x14ac:dyDescent="0.3">
      <c r="A2" s="12" t="s">
        <v>19</v>
      </c>
      <c r="B2" s="13">
        <v>1.3835616438356164</v>
      </c>
    </row>
    <row r="3" spans="1:2" x14ac:dyDescent="0.3">
      <c r="A3" s="12" t="s">
        <v>15</v>
      </c>
      <c r="B3" s="13">
        <v>1.1301369863013699</v>
      </c>
    </row>
    <row r="4" spans="1:2" x14ac:dyDescent="0.3">
      <c r="A4" s="12" t="s">
        <v>53</v>
      </c>
      <c r="B4" s="13">
        <v>1.0525114155251141</v>
      </c>
    </row>
    <row r="5" spans="1:2" x14ac:dyDescent="0.3">
      <c r="A5" s="12" t="s">
        <v>17</v>
      </c>
      <c r="B5" s="13">
        <v>0.65981735159817356</v>
      </c>
    </row>
    <row r="6" spans="1:2" x14ac:dyDescent="0.3">
      <c r="A6" s="12" t="s">
        <v>16</v>
      </c>
      <c r="B6" s="13">
        <v>0.42465753424657532</v>
      </c>
    </row>
    <row r="9" spans="1:2" ht="14.4" customHeight="1" x14ac:dyDescent="0.3">
      <c r="A9" s="55" t="s">
        <v>54</v>
      </c>
      <c r="B9" s="55"/>
    </row>
    <row r="10" spans="1:2" x14ac:dyDescent="0.3">
      <c r="A10" s="55"/>
      <c r="B10" s="55"/>
    </row>
    <row r="11" spans="1:2" ht="15" customHeight="1" x14ac:dyDescent="0.3">
      <c r="A11" s="14"/>
      <c r="B11" s="14"/>
    </row>
    <row r="12" spans="1:2" x14ac:dyDescent="0.3">
      <c r="A12" s="16" t="s">
        <v>51</v>
      </c>
      <c r="B12" s="17" t="s">
        <v>52</v>
      </c>
    </row>
    <row r="13" spans="1:2" x14ac:dyDescent="0.3">
      <c r="A13" s="18" t="s">
        <v>19</v>
      </c>
      <c r="B13" s="15">
        <f>AVERAGE(WinterSports[Bobsleigh])</f>
        <v>1.3835616438356164</v>
      </c>
    </row>
    <row r="14" spans="1:2" x14ac:dyDescent="0.3">
      <c r="A14" s="18" t="s">
        <v>15</v>
      </c>
      <c r="B14" s="15">
        <f>AVERAGE(WinterSports[Speed Skating])</f>
        <v>1.1301369863013699</v>
      </c>
    </row>
    <row r="15" spans="1:2" x14ac:dyDescent="0.3">
      <c r="A15" s="18" t="s">
        <v>53</v>
      </c>
      <c r="B15" s="15">
        <f>AVERAGE(WinterSports[Alpine skiing])</f>
        <v>1.0525114155251141</v>
      </c>
    </row>
    <row r="16" spans="1:2" x14ac:dyDescent="0.3">
      <c r="A16" s="18" t="s">
        <v>17</v>
      </c>
      <c r="B16" s="15">
        <f>AVERAGE(WinterSports[Biathlon])</f>
        <v>0.65981735159817356</v>
      </c>
    </row>
    <row r="17" spans="1:2" x14ac:dyDescent="0.3">
      <c r="A17" s="18" t="s">
        <v>16</v>
      </c>
      <c r="B17" s="15">
        <f>AVERAGE(WinterSports[Nordic combined])</f>
        <v>0.42465753424657532</v>
      </c>
    </row>
  </sheetData>
  <mergeCells count="1">
    <mergeCell ref="A9:B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 Dictionary</vt:lpstr>
      <vt:lpstr>LevelUp Data!</vt:lpstr>
      <vt:lpstr>Analysis</vt:lpstr>
      <vt:lpstr>Explore the Five Sports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Ananya Garg</dc:creator>
  <cp:lastModifiedBy>Ananya Garg</cp:lastModifiedBy>
  <dcterms:created xsi:type="dcterms:W3CDTF">2026-09-18T02:41:46Z</dcterms:created>
  <dcterms:modified xsi:type="dcterms:W3CDTF">2026-09-18T20:26:00Z</dcterms:modified>
</cp:coreProperties>
</file>