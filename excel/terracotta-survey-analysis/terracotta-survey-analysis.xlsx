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Ananya Garg UW\Third year\Summer 2026\GCA\Excel portfolio projects\"/>
    </mc:Choice>
  </mc:AlternateContent>
  <xr:revisionPtr revIDLastSave="0" documentId="13_ncr:1_{A276162D-A289-41F1-B67C-A425DA2B0667}" xr6:coauthVersionLast="47" xr6:coauthVersionMax="47" xr10:uidLastSave="{00000000-0000-0000-0000-000000000000}"/>
  <bookViews>
    <workbookView xWindow="-108" yWindow="-108" windowWidth="24792" windowHeight="13320" activeTab="3" xr2:uid="{E14E9D53-952A-48E4-B8A6-1CE6BD6FF9C7}"/>
  </bookViews>
  <sheets>
    <sheet name="data-dictionaries" sheetId="1" r:id="rId1"/>
    <sheet name="plant-info" sheetId="2" r:id="rId2"/>
    <sheet name="free-response-analysis" sheetId="3" r:id="rId3"/>
    <sheet name="Analysis" sheetId="4"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2" i="4" l="1"/>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alcChain>
</file>

<file path=xl/sharedStrings.xml><?xml version="1.0" encoding="utf-8"?>
<sst xmlns="http://schemas.openxmlformats.org/spreadsheetml/2006/main" count="2347" uniqueCount="592">
  <si>
    <t>Data Dictionaries</t>
  </si>
  <si>
    <t>— The responses Table</t>
  </si>
  <si>
    <t>column name</t>
  </si>
  <si>
    <t>description</t>
  </si>
  <si>
    <t>survey_id</t>
  </si>
  <si>
    <t>Unique identifier for each survey response collected.</t>
  </si>
  <si>
    <t>plant_types</t>
  </si>
  <si>
    <t>Survey responses to the question “What type of plants do you typically purchase?” Values are various kinds of plants!</t>
  </si>
  <si>
    <t>reason_for_purchase_free_response</t>
  </si>
  <si>
    <t>Survey responses to the question “What factor is most important to you when choosing a plant to buy?” This was a free-response question. </t>
  </si>
  <si>
    <t>freq</t>
  </si>
  <si>
    <t>Survey responses to the question “How often do you typically purchase plants?” Values are ‘weekly’, ‘monthly’, 'every few months', 'once a year', and 'rarely, only for special occasions'</t>
  </si>
  <si>
    <t>care_info</t>
  </si>
  <si>
    <t>Categories based on common themes in survey responses to the question “What plant care information would you like to see provided in-store or online?” Values are 'pet-safe information', 'light requirements', 'watering frequency &amp; amount', 'propagation techniques', and 'soil type &amp; fertilization'</t>
  </si>
  <si>
    <t>pots</t>
  </si>
  <si>
    <t>Survey responses to the question “What kind of pots or planters do you prefer for your plants?” Values are 'ceramic', 'terracotta', 'plastic', 'metal', 'hanging baskets', and 'wall-mounted planters'</t>
  </si>
  <si>
    <t>— The plant_info Table</t>
  </si>
  <si>
    <t>plant</t>
  </si>
  <si>
    <t>Type of plant. Matches plant_type in the responses table.</t>
  </si>
  <si>
    <t>light-requirements</t>
  </si>
  <si>
    <t xml:space="preserve">Minimum light requirements for maintenance. Values are 'low light', 'indirect light', and 'direct light'. </t>
  </si>
  <si>
    <t>water-requirements</t>
  </si>
  <si>
    <t>Minimum water-requirements for maintenance. Values are 'water-intensive' and 'drought-tolerant'.</t>
  </si>
  <si>
    <t>maintenance-requirements</t>
  </si>
  <si>
    <t xml:space="preserve">The general maintenance level of a plant, based on the combination of light and water requirements. Values are 'low-maintenance', 'med-maintenance', and 'high-maintenance'. </t>
  </si>
  <si>
    <t>toxic</t>
  </si>
  <si>
    <t>Whether or not a plant is 'safe for pets &amp; children' or 'toxic'.</t>
  </si>
  <si>
    <t>— The reason Table</t>
  </si>
  <si>
    <t>reason_for_purchase</t>
  </si>
  <si>
    <t>Categories based on common themes in reason_for_purchase_free_response. Values are 'care requirements', 'benefits', 'pet-friendly or safe for children', 'size', 'rare or unique species', and 'price'.</t>
  </si>
  <si>
    <t>African Violets</t>
  </si>
  <si>
    <t>filtered-light</t>
  </si>
  <si>
    <t>water-intensive</t>
  </si>
  <si>
    <t>high-maintenance</t>
  </si>
  <si>
    <t>safe for pets &amp; children</t>
  </si>
  <si>
    <t>Chinese Evergreen</t>
  </si>
  <si>
    <t>low-light</t>
  </si>
  <si>
    <t>drought-tolerant</t>
  </si>
  <si>
    <t>low-maintenance</t>
  </si>
  <si>
    <t>Air Plants</t>
  </si>
  <si>
    <t>med-maintenance</t>
  </si>
  <si>
    <t>Alocasia</t>
  </si>
  <si>
    <t>Anthurium</t>
  </si>
  <si>
    <t>Cast-Iron Plant</t>
  </si>
  <si>
    <t>Areca Palm</t>
  </si>
  <si>
    <t>Arrowhead Vine</t>
  </si>
  <si>
    <t>Begonia</t>
  </si>
  <si>
    <t>Bird of Paradise</t>
  </si>
  <si>
    <t>direct-light</t>
  </si>
  <si>
    <t>Calathea</t>
  </si>
  <si>
    <t>Cordyline</t>
  </si>
  <si>
    <t>Croton</t>
  </si>
  <si>
    <t>Dieffenbachia</t>
  </si>
  <si>
    <t>Dracaena</t>
  </si>
  <si>
    <t>English Ivy</t>
  </si>
  <si>
    <t>Hoya</t>
  </si>
  <si>
    <t>Boston Fern</t>
  </si>
  <si>
    <t>Bird's Nest Fern</t>
  </si>
  <si>
    <t>Maidenhair Fern</t>
  </si>
  <si>
    <t>Ferns (other)</t>
  </si>
  <si>
    <t>Rubber Plant</t>
  </si>
  <si>
    <t>Fiddle Leaf Fig</t>
  </si>
  <si>
    <t>Ficus (other)</t>
  </si>
  <si>
    <t>Nerve Plant</t>
  </si>
  <si>
    <t>Jade Plant</t>
  </si>
  <si>
    <t>Prayer Plant</t>
  </si>
  <si>
    <t>Monstera</t>
  </si>
  <si>
    <t>Norfolk Island Pine</t>
  </si>
  <si>
    <t>Parlour Palm</t>
  </si>
  <si>
    <t>Peace Lily</t>
  </si>
  <si>
    <t>Peperomia</t>
  </si>
  <si>
    <t>Phalaenopsis</t>
  </si>
  <si>
    <t>Philodendron Vines</t>
  </si>
  <si>
    <t>Philodendrons</t>
  </si>
  <si>
    <t>Pilea</t>
  </si>
  <si>
    <t>Polka Dot Plant</t>
  </si>
  <si>
    <t>Pothos</t>
  </si>
  <si>
    <t>Sansevieria</t>
  </si>
  <si>
    <t>Schefflera</t>
  </si>
  <si>
    <t>Christmas Cactus</t>
  </si>
  <si>
    <t>Spider Plant</t>
  </si>
  <si>
    <t>Staghorn Fern</t>
  </si>
  <si>
    <t>Succulents</t>
  </si>
  <si>
    <t>Yucca</t>
  </si>
  <si>
    <t>ZZ Plant</t>
  </si>
  <si>
    <t>7cuh94</t>
  </si>
  <si>
    <t>I only buy plants that are safe for both kids and pets.</t>
  </si>
  <si>
    <t>pet-friendly or safe for children</t>
  </si>
  <si>
    <t>1pgo30</t>
  </si>
  <si>
    <t>I prefer plants that have natural anti-allergy properties, like nettle, to reduce my allergy symptoms.</t>
  </si>
  <si>
    <t>benefits</t>
  </si>
  <si>
    <t>4tku58</t>
  </si>
  <si>
    <t>I want to make sure my plants are a safe addition to my home, especially with my cat and young child.</t>
  </si>
  <si>
    <t>8szc32</t>
  </si>
  <si>
    <t>I love finding good deals on plants, so I always look for sales and discounts.</t>
  </si>
  <si>
    <t>price</t>
  </si>
  <si>
    <t>2ndy19</t>
  </si>
  <si>
    <t>I prefer plants that have natural anti-inflammatory properties, like omega-3 rich flax seeds, for overall health benefits.</t>
  </si>
  <si>
    <t>8hxs71</t>
  </si>
  <si>
    <t>I want plants that are easy to take care of, so I choose small ones that won't require a lot of space or attention.</t>
  </si>
  <si>
    <t>size</t>
  </si>
  <si>
    <t>0swv92</t>
  </si>
  <si>
    <t>I have a curious dog, so I need to be careful about what plants I bring home.</t>
  </si>
  <si>
    <t>1rsg03</t>
  </si>
  <si>
    <t>I prefer plants that have unique shapes, colors, or textures that are hard to find.</t>
  </si>
  <si>
    <t>rare or unique species</t>
  </si>
  <si>
    <t>4tdl72</t>
  </si>
  <si>
    <t>I only buy plants that I know are safe for my pets and children.</t>
  </si>
  <si>
    <t>4mte96</t>
  </si>
  <si>
    <t>I prefer plants that have natural healing properties, like aloe vera, for minor cuts and burns.</t>
  </si>
  <si>
    <t>4yvt12</t>
  </si>
  <si>
    <t>I love plants that have aromatherapy benefits, like lavender, to help me relax and sleep better.</t>
  </si>
  <si>
    <t>8soq83</t>
  </si>
  <si>
    <t>I want to make sure my plants are non-toxic for my pets and children, even if it means spending a bit more.</t>
  </si>
  <si>
    <t>6hdm54</t>
  </si>
  <si>
    <t>I don't have a green thumb, so I stick to low-maintenance plants.</t>
  </si>
  <si>
    <t>care requirements</t>
  </si>
  <si>
    <t>8tjs06</t>
  </si>
  <si>
    <t>I want my plants to be conversation starters, so I choose funky, rare plants.</t>
  </si>
  <si>
    <t>0iwx94</t>
  </si>
  <si>
    <t>I love to cook with fresh herbs, so I choose plants that are known for their culinary benefits.</t>
  </si>
  <si>
    <t>5nrl71</t>
  </si>
  <si>
    <t>I live in a small space with limited light, so low maintenance and low light requirements are important.</t>
  </si>
  <si>
    <t>1uyf07</t>
  </si>
  <si>
    <t>I like to have plants that no one else has, so I choose super unique species.</t>
  </si>
  <si>
    <t>3ctz09</t>
  </si>
  <si>
    <t>I like to show off my rare or unique plants to friends and family.</t>
  </si>
  <si>
    <t>5vsb16</t>
  </si>
  <si>
    <t>I prefer plants that are not commonly seen in people's homes, and have unique characteristics.</t>
  </si>
  <si>
    <t>8mqe29</t>
  </si>
  <si>
    <t>I choose plants that are small enough to fit in my terrariums and planters.</t>
  </si>
  <si>
    <t>3sui92</t>
  </si>
  <si>
    <t>I choose plants that have natural immune-boosting properties, like echinacea, to stay healthy.</t>
  </si>
  <si>
    <t>4kei43</t>
  </si>
  <si>
    <t>I want to make sure my plants won't harm my dog or any visiting children.</t>
  </si>
  <si>
    <t>9jsv38</t>
  </si>
  <si>
    <t>I want to improve my digestion, so I choose plants that are known for their digestive benefits, like ginger.</t>
  </si>
  <si>
    <t>8lgq98</t>
  </si>
  <si>
    <t>I want to incorporate plants into my decor, but I need options that are low maintenance and easy to care for.</t>
  </si>
  <si>
    <t>5rme07</t>
  </si>
  <si>
    <t>I don't have a green thumb, so I only buy plants that are both low maintenance and non-toxic to pets.</t>
  </si>
  <si>
    <t>3egy42</t>
  </si>
  <si>
    <t>I like to buy plants that are big and impressive, so they make a statement in my home.</t>
  </si>
  <si>
    <t>0cjl69</t>
  </si>
  <si>
    <t>I choose plants that have natural anti-inflammatory properties, like green tea, for overall health benefits.</t>
  </si>
  <si>
    <t>8eoy94</t>
  </si>
  <si>
    <t>I want to be able to fit a lot of plants in my small apartment, so I choose ones that are compact.</t>
  </si>
  <si>
    <t>3zhy98</t>
  </si>
  <si>
    <t>As a pet owner, I want to make sure my furry friend can coexist safely with my plants, so I always choose pet-friendly options.</t>
  </si>
  <si>
    <t>3kjs23</t>
  </si>
  <si>
    <t>I prefer plants that are non-toxic to pets and children.</t>
  </si>
  <si>
    <t>6wfq41</t>
  </si>
  <si>
    <t>My dog is like family, so I only buy plants that won't hurt him.</t>
  </si>
  <si>
    <t>2jfn98</t>
  </si>
  <si>
    <t>I always look for plants that are easy to care for and safe for my pets.</t>
  </si>
  <si>
    <t>4xlp73</t>
  </si>
  <si>
    <t>I love finding rare or unique plants at local nurseries and plant shops.</t>
  </si>
  <si>
    <t>5ftv16</t>
  </si>
  <si>
    <t>Finding a plant that's easy to care for and safe for my pets is crucial for me.</t>
  </si>
  <si>
    <t>5fdu75</t>
  </si>
  <si>
    <t>I choose plants that have natural anti-anxiety properties, like valerian root, to reduce stress.</t>
  </si>
  <si>
    <t>6rlw91</t>
  </si>
  <si>
    <t>I don't have a green thumb, so I need a plant that's easy to care for.</t>
  </si>
  <si>
    <t>4qkx79</t>
  </si>
  <si>
    <t>I don't want to worry about my cat getting into the plant and getting sick.</t>
  </si>
  <si>
    <t>6ljd91</t>
  </si>
  <si>
    <t>I love adding unique plants to my collection and watching them thrive.</t>
  </si>
  <si>
    <t>0imd28</t>
  </si>
  <si>
    <t>I always check to see if the plant is safe for my dog before buying it.</t>
  </si>
  <si>
    <t>2hbc76</t>
  </si>
  <si>
    <t>I want to enjoy my plants without the stress of complex care requirements.</t>
  </si>
  <si>
    <t>2ubi53</t>
  </si>
  <si>
    <t>I always check the watering requirements before buying a plant because I don't want to over or under-water it.</t>
  </si>
  <si>
    <t>3aeu18</t>
  </si>
  <si>
    <t>I prefer plants that are affordable and won't require a lot of special knowledge or expertise to care for.</t>
  </si>
  <si>
    <t>8csf73</t>
  </si>
  <si>
    <t>I love plants that have natural energy-boosting properties, like ginseng, to help me power through the day.</t>
  </si>
  <si>
    <t>3rxl84</t>
  </si>
  <si>
    <t>I don't want to worry about my cat getting into the plant, so I always choose non-toxic options.</t>
  </si>
  <si>
    <t>7vqo36</t>
  </si>
  <si>
    <t>I'm not great at remembering to water plants, so low maintenance options are a must for me.</t>
  </si>
  <si>
    <t>2fxu15</t>
  </si>
  <si>
    <t>I always research the plant to make sure it's safe for my pets and children before buying it.</t>
  </si>
  <si>
    <t>8wyo15</t>
  </si>
  <si>
    <t>I choose plants that have natural anti-inflammatory properties, like turmeric, for overall health benefits.</t>
  </si>
  <si>
    <t>5iws21</t>
  </si>
  <si>
    <t>I love discovering rare plants online and having them shipped to me.</t>
  </si>
  <si>
    <t>5otu13</t>
  </si>
  <si>
    <t>I always look for plants that have air-purifying qualities for a healthier home.</t>
  </si>
  <si>
    <t>2gbs96</t>
  </si>
  <si>
    <t>I only buy plants that require low light, since I don't get much sun in my apartment.</t>
  </si>
  <si>
    <t>5anx81</t>
  </si>
  <si>
    <t>I choose plants that are tall and add height to my room.</t>
  </si>
  <si>
    <t>6evw84</t>
  </si>
  <si>
    <t>I choose plants that are small and easy to propagate, so I can have more of them throughout my home.</t>
  </si>
  <si>
    <t>0onh83</t>
  </si>
  <si>
    <t>I'm not the best at keeping plants alive, so I always choose low-maintenance options.</t>
  </si>
  <si>
    <t>2fkw26</t>
  </si>
  <si>
    <t>I prefer plants that don't require a lot of attention.</t>
  </si>
  <si>
    <t>2mas20</t>
  </si>
  <si>
    <t>I'm not the best with plants, so I choose ones that are known for being easy to care for.</t>
  </si>
  <si>
    <t>6vuk39</t>
  </si>
  <si>
    <t>I like to challenge myself by growing rare or unique species that require special care.</t>
  </si>
  <si>
    <t>4ing89</t>
  </si>
  <si>
    <t>I like to have plants in every room of my house, so I choose small ones that I can scatter around.</t>
  </si>
  <si>
    <t>9nmu69</t>
  </si>
  <si>
    <t>I choose plants that are small and fit in cute planters, so they're not too overwhelming.</t>
  </si>
  <si>
    <t>4wxu90</t>
  </si>
  <si>
    <t>I like to have a lot of plants, so I choose small ones that I can fit on my shelves and tables.</t>
  </si>
  <si>
    <t>6aez51</t>
  </si>
  <si>
    <t>I don't want to spend more than I have to on plants, so I choose ones that are reasonably priced.</t>
  </si>
  <si>
    <t>9qir69</t>
  </si>
  <si>
    <t>I always consider the watering requirements before buying a plant because I don't want to be constantly checking on it.</t>
  </si>
  <si>
    <t>5lwu76</t>
  </si>
  <si>
    <t>I want to make sure my pets and kids can coexist with my plants safely.</t>
  </si>
  <si>
    <t>9lpc06</t>
  </si>
  <si>
    <t>I don't want to take any risks, so I stick to pet and child-friendly plants.</t>
  </si>
  <si>
    <t>0bfv17</t>
  </si>
  <si>
    <t>I always make sure the plant is non-toxic to my cat.</t>
  </si>
  <si>
    <t>4zoc52</t>
  </si>
  <si>
    <t>I travel frequently, so I need plants that can survive with minimal care.</t>
  </si>
  <si>
    <t>0xob78</t>
  </si>
  <si>
    <t>I choose plants that have natural stress-reducing properties to create a more relaxing environment.</t>
  </si>
  <si>
    <t>4crh85</t>
  </si>
  <si>
    <t>I want my plants to be a safe addition to my home, so I only choose non-toxic options.</t>
  </si>
  <si>
    <t>6vck21</t>
  </si>
  <si>
    <t>I have a dog, so I always check if the plant is pet-friendly and has air-purifying qualities.</t>
  </si>
  <si>
    <t>9bkf02</t>
  </si>
  <si>
    <t>I have a bird, so I need to be careful about the plants I bring into my home.</t>
  </si>
  <si>
    <t>4blm50</t>
  </si>
  <si>
    <t>I always look for rare or unique species that will make a statement in my home.</t>
  </si>
  <si>
    <t>9iag17</t>
  </si>
  <si>
    <t>I choose plants that have natural anti-aging properties, like pomegranate, for overall health benefits.</t>
  </si>
  <si>
    <t>7jlq16</t>
  </si>
  <si>
    <t>I want to enjoy the benefits of plants without the hassle of high maintenance care.</t>
  </si>
  <si>
    <t>7tem78</t>
  </si>
  <si>
    <t>I love using plants in my tea blends, so I choose ones that have unique and interesting flavors, like hibiscus.</t>
  </si>
  <si>
    <t>6jot49</t>
  </si>
  <si>
    <t>I like to have plants that are the same size and shape, so they look uniform in my space.</t>
  </si>
  <si>
    <t>0zkn19</t>
  </si>
  <si>
    <t>I have a busy schedule, so I need plants that don't require a lot of attention.</t>
  </si>
  <si>
    <t>0bqz04</t>
  </si>
  <si>
    <t>I choose plants that are affordable and won't require a lot of expensive equipment or supplies to care for.</t>
  </si>
  <si>
    <t>4cpw64</t>
  </si>
  <si>
    <t>I choose plants that are easy to move from room to room, so I can enjoy them anywhere in my home.</t>
  </si>
  <si>
    <t>9zjt50</t>
  </si>
  <si>
    <t>I have a dog who loves to chew on things, so I need to be sure the plant won't harm him.</t>
  </si>
  <si>
    <t>3vsg91</t>
  </si>
  <si>
    <t>I love having plants around, but I don't want to spend a lot of time taking care of them.</t>
  </si>
  <si>
    <t>8aqo87</t>
  </si>
  <si>
    <t>I choose plants that have natural anti-cancer properties, like broccoli, for overall health benefits.</t>
  </si>
  <si>
    <t>5heo14</t>
  </si>
  <si>
    <t>I don't want to take any risks, so I always err on the side of caution and choose non-toxic plants.</t>
  </si>
  <si>
    <t>4lqc31</t>
  </si>
  <si>
    <t>Since I don't have a lot of natural light, I always look for plants that can thrive in low light conditions.</t>
  </si>
  <si>
    <t>1gys03</t>
  </si>
  <si>
    <t>I love using plants in my beauty routine, so I choose ones that have natural healing properties, like tea tree oil.</t>
  </si>
  <si>
    <t>6ern84</t>
  </si>
  <si>
    <t>I have a young child who loves to explore, so I need to be sure the plant won't harm her if she touches it.</t>
  </si>
  <si>
    <t>8yuv87</t>
  </si>
  <si>
    <t>I live in a small apartment with minimal natural light, so I need plants that can thrive in low light.</t>
  </si>
  <si>
    <t>8nju37</t>
  </si>
  <si>
    <t>Low maintenance and pet-friendly are my top priorities when choosing a plant.</t>
  </si>
  <si>
    <t>0qoh58</t>
  </si>
  <si>
    <t>I want to improve my memory and focus, so I choose plants that are known for their cognitive benefits, like rosemary.</t>
  </si>
  <si>
    <t>2ieg62</t>
  </si>
  <si>
    <t>I don't want to worry about keeping my plants near a window, so I choose options that can thrive in low light.</t>
  </si>
  <si>
    <t>8txw45</t>
  </si>
  <si>
    <t>I always choose plants that don't require direct sunlight, since I don't have many windows in my apartment.</t>
  </si>
  <si>
    <t>8ufi74</t>
  </si>
  <si>
    <t>I always check the labels to see if the plant is safe for pets and children before buying it.</t>
  </si>
  <si>
    <t>2nyj69</t>
  </si>
  <si>
    <t>I always check to see if the plant is safe for my cat before buying it.</t>
  </si>
  <si>
    <t>7lra04</t>
  </si>
  <si>
    <t>I prefer plants that have natural pain-relieving properties, like chamomile, for headaches and cramps.</t>
  </si>
  <si>
    <t>8bho84</t>
  </si>
  <si>
    <t>I prefer plants that are safe for pets and children, even if they're a bit more expensive.</t>
  </si>
  <si>
    <t>4fnp12</t>
  </si>
  <si>
    <t>I prefer plants that have natural anti-septic properties, like lavender, to keep my home clean and healthy.</t>
  </si>
  <si>
    <t>3hft85</t>
  </si>
  <si>
    <t>I don't want to risk my cat getting sick, so I only buy plants that are safe for felines.</t>
  </si>
  <si>
    <t>1hxu32</t>
  </si>
  <si>
    <t>I only buy plants that won't pose a risk to my pets or children.</t>
  </si>
  <si>
    <t>7wbs74</t>
  </si>
  <si>
    <t>I want plants that are easy to propagate, so I can have more of them throughout my home.</t>
  </si>
  <si>
    <t>5nyu13</t>
  </si>
  <si>
    <t>I'm always on the lookout for rare or unique plants to add to my collection.</t>
  </si>
  <si>
    <t>9imf89</t>
  </si>
  <si>
    <t>I have a dog, so I always check if the plant is pet-friendly.</t>
  </si>
  <si>
    <t>9vdi90</t>
  </si>
  <si>
    <t>I want to improve my heart health, so I choose plants that are known for their cardiovascular benefits, like garlic.</t>
  </si>
  <si>
    <t>3paf51</t>
  </si>
  <si>
    <t>I want to enjoy having plants without the hassle of high maintenance requirements.</t>
  </si>
  <si>
    <t>4njv95</t>
  </si>
  <si>
    <t>I want to make sure my cat can't access the plant, but if he does, it won't harm him.</t>
  </si>
  <si>
    <t>9zcy62</t>
  </si>
  <si>
    <t>I prefer plants that have natural anti-depressant properties, like St. John's Wort, to improve my mood.</t>
  </si>
  <si>
    <t>4bhq14</t>
  </si>
  <si>
    <t>I always look for plants that are safe for pets and children before considering any other factors.</t>
  </si>
  <si>
    <t>9mfe35</t>
  </si>
  <si>
    <t>I want to make sure my plants are a safe addition to my home, especially with my young children.</t>
  </si>
  <si>
    <t>3xic78</t>
  </si>
  <si>
    <t>I don't have the space for a big garden, so I choose plants that can be grown in containers and don't require a lot of soil.</t>
  </si>
  <si>
    <t>1kjz94</t>
  </si>
  <si>
    <t>I want my plants to be Instagram-worthy, so I choose rare ones, no matter the cost.</t>
  </si>
  <si>
    <t>4art60</t>
  </si>
  <si>
    <t>I want to improve my joint health, so I choose plants that are known for their anti-inflammatory properties, like turmeric.</t>
  </si>
  <si>
    <t>0mku34</t>
  </si>
  <si>
    <t>I have a dog, so I need to be careful about the plants I bring home.</t>
  </si>
  <si>
    <t>7rwg13</t>
  </si>
  <si>
    <t>I prefer plants that are not commonly found in stores, and have unique features.</t>
  </si>
  <si>
    <t>6jbc72</t>
  </si>
  <si>
    <t>I want my plants to be a reflection of my personality, so I choose rare or unique species.</t>
  </si>
  <si>
    <t>9hik85</t>
  </si>
  <si>
    <t>safety for my children is my top priority, so I look for plants that won't harm them.</t>
  </si>
  <si>
    <t>5gdt69</t>
  </si>
  <si>
    <t>I love plants that have natural anti-bacterial properties, like thyme, to keep my home clean and healthy.</t>
  </si>
  <si>
    <t>4qha50</t>
  </si>
  <si>
    <t>As a mom, I need to make sure any plant I bring home won't harm my kids.</t>
  </si>
  <si>
    <t>5kau98</t>
  </si>
  <si>
    <t>I don't have a lot of space, so I choose plants that are small and easy to care for.</t>
  </si>
  <si>
    <t>1oqc93</t>
  </si>
  <si>
    <t>I only buy plants that are drought-tolerant because I'm not great at remembering to water them.</t>
  </si>
  <si>
    <t>7crj71</t>
  </si>
  <si>
    <t>I choose plants that have natural anti-fungal properties, like tea tree oil, to keep my home and body healthy.</t>
  </si>
  <si>
    <t>1yfb60</t>
  </si>
  <si>
    <t>I like to have plants around, but I don't want to spend a lot of time taking care of them.</t>
  </si>
  <si>
    <t>8hfm54</t>
  </si>
  <si>
    <t>I want to improve my vision, so I choose plants that are known for their eye health benefits, like carrots.</t>
  </si>
  <si>
    <t>5qcz80</t>
  </si>
  <si>
    <t>I prefer plants that can go without water for a few days because I travel frequently.</t>
  </si>
  <si>
    <t>6pyw09</t>
  </si>
  <si>
    <t>I want my plants to be unique and special!</t>
  </si>
  <si>
    <t>9nsl50</t>
  </si>
  <si>
    <t>I love using plants in my hair care routine, so I choose ones that have natural beauty benefits, like aloe vera.</t>
  </si>
  <si>
    <t>9rdn59</t>
  </si>
  <si>
    <t>I want to make sure my plants are a safe addition to my home, especially with my pets and young child.</t>
  </si>
  <si>
    <t>7dzh92</t>
  </si>
  <si>
    <t>I want to boost my mood naturally, so I choose plants with bright and cheerful colors.</t>
  </si>
  <si>
    <t>5pqk30</t>
  </si>
  <si>
    <t>I prefer plants that don't require direct sunlight, since I don't have many windows.</t>
  </si>
  <si>
    <t>9etx84</t>
  </si>
  <si>
    <t>As a busy person, I need plants that won't require a lot of attention, so I always choose low-maintenance options.</t>
  </si>
  <si>
    <t>6twd42</t>
  </si>
  <si>
    <t>I prefer plants that can tolerate low light, since I don't have many windows in my living space.</t>
  </si>
  <si>
    <t>6tak43</t>
  </si>
  <si>
    <t>I want to improve my mental health, so I choose plants that are known to reduce anxiety and stress.</t>
  </si>
  <si>
    <t>8plg04</t>
  </si>
  <si>
    <t>I choose plants that have natural anti-itch properties, like chamomile, for bug bites and rashes.</t>
  </si>
  <si>
    <t>0ztb09</t>
  </si>
  <si>
    <t>Easy light requirements are a must for me, since I don't have a lot of natural light in my apartment.</t>
  </si>
  <si>
    <t>9blg84</t>
  </si>
  <si>
    <t>Low maintenance is key for me when it comes to plants, as I don't have a lot of experience with gardening.</t>
  </si>
  <si>
    <t>8czm97</t>
  </si>
  <si>
    <t>I want to make sure my plants won't harm my pets or children, so I only choose non-toxic options.</t>
  </si>
  <si>
    <t>2pye95</t>
  </si>
  <si>
    <t>I prefer plants that have a story behind them, like rare or unique species that were hard to find.</t>
  </si>
  <si>
    <t>3hkl06</t>
  </si>
  <si>
    <t>I choose plants that have natural insect-repelling qualities, so I can avoid using harmful chemicals.</t>
  </si>
  <si>
    <t>1ifh53</t>
  </si>
  <si>
    <t>I only buy plants that are on sale or discounted.</t>
  </si>
  <si>
    <t>5wzk98</t>
  </si>
  <si>
    <t>As a pet owner, I always prioritize my animal's safety when buying plants.</t>
  </si>
  <si>
    <t>7ayi89</t>
  </si>
  <si>
    <t>I like to propagate my plants, so I choose ones that are easy to propagate and share with friends.</t>
  </si>
  <si>
    <t>2caw97</t>
  </si>
  <si>
    <t>I want my plants to be a source of relaxation, not added stress, so I choose low-maintenance options.</t>
  </si>
  <si>
    <t>9doa71</t>
  </si>
  <si>
    <t>I have a cat who likes to nibble on plants, so I need to be sure they won't harm her.</t>
  </si>
  <si>
    <t>0kws56</t>
  </si>
  <si>
    <t>I love the challenge of growing rare plants that require special conditions.</t>
  </si>
  <si>
    <t>7ekg91</t>
  </si>
  <si>
    <t>Low maintenance and pet-safe are the two factors I always consider when buying a plant.</t>
  </si>
  <si>
    <t>2qfj74</t>
  </si>
  <si>
    <t>I don't want to take any chances, so I only buy plants that are safe for both my cat and my children.</t>
  </si>
  <si>
    <t>8auc35</t>
  </si>
  <si>
    <t>I prefer plants that have natural anti-viral properties, like elderberry, to stay healthy during cold and flu season.</t>
  </si>
  <si>
    <t>4weu24</t>
  </si>
  <si>
    <t>I prefer plants that don't require frequent watering because I don't want to waste resources.</t>
  </si>
  <si>
    <t>5oqu18</t>
  </si>
  <si>
    <t>I prefer plants that don't require a lot of upkeep.</t>
  </si>
  <si>
    <t>2uvs31</t>
  </si>
  <si>
    <t>I only buy plants that are easy to care for.</t>
  </si>
  <si>
    <t>4nqv16</t>
  </si>
  <si>
    <t>Low maintenance plants that can thrive in low light are perfect for my apartment.</t>
  </si>
  <si>
    <t>1irs93</t>
  </si>
  <si>
    <t>I love my pets and want to make sure they're safe around my plants.</t>
  </si>
  <si>
    <t>7hbu73</t>
  </si>
  <si>
    <t>I want to enjoy the beauty of plants without having to spend a lot of time taking care of them.</t>
  </si>
  <si>
    <t>5phm98</t>
  </si>
  <si>
    <t>I have a dog and a baby, so I need to be extra careful about the plants I choose.</t>
  </si>
  <si>
    <t>9ahd63</t>
  </si>
  <si>
    <t>I want to be able to enjoy plants without breaking the bank, so I choose affordable options.</t>
  </si>
  <si>
    <t>5xoj50</t>
  </si>
  <si>
    <t>I always look for affordable plants that won't break the bank.</t>
  </si>
  <si>
    <t>6hsq68</t>
  </si>
  <si>
    <t>I look for plants that can survive with minimal watering because I don't have a lot of time to take care of them.</t>
  </si>
  <si>
    <t>8qku37</t>
  </si>
  <si>
    <t>I have a baby on the way, so I'm extra cautious about the plants I buy.</t>
  </si>
  <si>
    <t>3lth02</t>
  </si>
  <si>
    <t>I want to enjoy my plants without worrying about my toddler getting into them.</t>
  </si>
  <si>
    <t>9tad61</t>
  </si>
  <si>
    <t>I prefer plants that are small and easy to move around, so I can change up my decor often.</t>
  </si>
  <si>
    <t>4efh75</t>
  </si>
  <si>
    <t>Easy light requirements are important to me, since I don't have much natural light in my home.</t>
  </si>
  <si>
    <t>8azx61</t>
  </si>
  <si>
    <t>I like plants that can survive in low light conditions, since I don't have many sunny spots in my home.</t>
  </si>
  <si>
    <t>0vtd06</t>
  </si>
  <si>
    <t>I want to improve my indoor air quality, so I choose plants that are known to remove toxins.</t>
  </si>
  <si>
    <t>8jmy10</t>
  </si>
  <si>
    <t>I like to have greenery in my home, but I don't want to spend a lot of time tending to them.</t>
  </si>
  <si>
    <t>5xnw05</t>
  </si>
  <si>
    <t>I prefer plants that are small enough to fit on my desk or nightstand.</t>
  </si>
  <si>
    <t>8ybz01</t>
  </si>
  <si>
    <t>I want each and every plant I buy to be a unique expression of my style.</t>
  </si>
  <si>
    <t>0opl53</t>
  </si>
  <si>
    <t>I've had bad experiences with toxic plants in the past, so now I only buy non-toxic options.</t>
  </si>
  <si>
    <t>9dpm21</t>
  </si>
  <si>
    <t>My toddler is always exploring, so I only buy plants that won't harm her if she touches them.</t>
  </si>
  <si>
    <t>1fzy30</t>
  </si>
  <si>
    <t>I prefer plants that have natural anti-aging properties, like acai berries, for overall health benefits.</t>
  </si>
  <si>
    <t>1lqj57</t>
  </si>
  <si>
    <t>safety for my kids and pets is non-negotiable, so I always check the labels.</t>
  </si>
  <si>
    <t>2bxj58</t>
  </si>
  <si>
    <t>I prefer plants that don't require a lot of water or fertilizer.</t>
  </si>
  <si>
    <t>1fst62</t>
  </si>
  <si>
    <t>I want plants that require little care and attention since I'm not the best at keeping them alive.</t>
  </si>
  <si>
    <t>8jqu60</t>
  </si>
  <si>
    <t>I love my pets and want to make sure they're safe around my plants, so I only buy pet-friendly options.</t>
  </si>
  <si>
    <t>9jtm95</t>
  </si>
  <si>
    <t>Easy light requirements are a top priority for me, since I don't have a lot of sun exposure in my home.</t>
  </si>
  <si>
    <t>8yoq59</t>
  </si>
  <si>
    <t>I want plants that are easy to care for and don't require a lot of time or effort.</t>
  </si>
  <si>
    <t>6vxd27</t>
  </si>
  <si>
    <t>I have a young child who loves to explore, so I only buy plants that are safe for her.</t>
  </si>
  <si>
    <t>6dcl35</t>
  </si>
  <si>
    <t>I like to buy plants that are small enough to fit on my windowsill.</t>
  </si>
  <si>
    <t>5kzm08</t>
  </si>
  <si>
    <t>I want plants that are easy to care for and don't require a lot of attention or special care.</t>
  </si>
  <si>
    <t>7dci92</t>
  </si>
  <si>
    <t>I like to challenge myself by growing rare species that require special attention.</t>
  </si>
  <si>
    <t>4ivf26</t>
  </si>
  <si>
    <t>I love collecting unique plants that are hard to find.</t>
  </si>
  <si>
    <t>3vdt92</t>
  </si>
  <si>
    <t>I don't want to spend a lot of money on plants that won't last, so I choose ones that are durable and long-lasting.</t>
  </si>
  <si>
    <t>3uvp16</t>
  </si>
  <si>
    <t>My family's safety comes first, so I make sure the plant won't harm anyone.</t>
  </si>
  <si>
    <t>5ars97</t>
  </si>
  <si>
    <t>I don't want to spend too much money, but I also want to make sure my pets are safe, so I choose plants that are affordable and non-toxic to them.</t>
  </si>
  <si>
    <t>6yhj02</t>
  </si>
  <si>
    <t>I'm always searching for rare plants to add to my indoor jungle.</t>
  </si>
  <si>
    <t>5ofy59</t>
  </si>
  <si>
    <t>I want to be able to buy plants without feeling guilty about the cost, so I choose affordable options.</t>
  </si>
  <si>
    <t>4syk05</t>
  </si>
  <si>
    <t>I like to have a mix of small and large plants, so my home feels balanced.</t>
  </si>
  <si>
    <t>7jng79</t>
  </si>
  <si>
    <t>I have a toddler who likes to put things in her mouth, so I need to be sure the plant won't harm her.</t>
  </si>
  <si>
    <t>9tfz85</t>
  </si>
  <si>
    <t>I don't have a lot of time for plant care, so I always look for low-maintenance options.</t>
  </si>
  <si>
    <t>8oyq63</t>
  </si>
  <si>
    <t>I want to enjoy my plants without worrying about my dog or child getting sick.</t>
  </si>
  <si>
    <t>2yrx34</t>
  </si>
  <si>
    <t>I want plants that are easy to take care of, so I choose ones that don't grow too big.</t>
  </si>
  <si>
    <t>7rzi23</t>
  </si>
  <si>
    <t>I want to be able to move my plants around easily, so I choose lightweight options.</t>
  </si>
  <si>
    <t>5ozn19</t>
  </si>
  <si>
    <t>I'm always on the lookout for unique or wild plants that will stand out in my collection.</t>
  </si>
  <si>
    <t>7rpw67</t>
  </si>
  <si>
    <t>I always look for plants that are a good value for the price, and won't require a lot of maintenance or care.</t>
  </si>
  <si>
    <t>1srh87</t>
  </si>
  <si>
    <t>I prefer plants that are hard to find and have unique characteristics.</t>
  </si>
  <si>
    <t>7bde57</t>
  </si>
  <si>
    <t>I look for plants that can handle irregular watering because I tend to forget to water them on a regular schedule.</t>
  </si>
  <si>
    <t>0cef62</t>
  </si>
  <si>
    <t>9dlw50</t>
  </si>
  <si>
    <t>I want my plants to be a reflection of me. I‚Äôm pretty unique!</t>
  </si>
  <si>
    <t>6obl36</t>
  </si>
  <si>
    <t>I love using plants in my skincare routine, so I choose ones that have natural beauty benefits.</t>
  </si>
  <si>
    <t>3rgl01</t>
  </si>
  <si>
    <t>I want to make sure my plants are non-toxic for both my pets and children.</t>
  </si>
  <si>
    <t>8rna32</t>
  </si>
  <si>
    <t>I want to enjoy having plants in my home, but I don't want them to be too much work or pose a risk to my pets.</t>
  </si>
  <si>
    <t>3hcq23</t>
  </si>
  <si>
    <t>As someone who travels frequently, I need a plant that won't die if I'm away for a few weeks.</t>
  </si>
  <si>
    <t>4gqa38</t>
  </si>
  <si>
    <t>I love the thrill of the hunt when it comes to finding rare plants to add to my collection.</t>
  </si>
  <si>
    <t>0rwt50</t>
  </si>
  <si>
    <t>I want plants that are easy to transport, so I choose ones that are small and lightweight.</t>
  </si>
  <si>
    <t>4fju64</t>
  </si>
  <si>
    <t>I have a toddler, so safety is a major concern when buying plants.</t>
  </si>
  <si>
    <t>3sgt49</t>
  </si>
  <si>
    <t>I prefer plants that don't require a lot of attention or special soil, so I can enjoy them without worrying too much about their care.</t>
  </si>
  <si>
    <t>2leu24</t>
  </si>
  <si>
    <t>I prefer plants that are self-sufficient and don't require a lot of special care or attention.</t>
  </si>
  <si>
    <t>5qry47</t>
  </si>
  <si>
    <t>I prefer plants that have unique features, like variegated leaves or unusual growth habits, that are hard to find.</t>
  </si>
  <si>
    <t>8lsi58</t>
  </si>
  <si>
    <t>I want to improve my sleep quality, so I choose plants that are known for their calming effects.</t>
  </si>
  <si>
    <t>5bsz56</t>
  </si>
  <si>
    <t>I prefer plants that have natural anti-inflammatory properties, like turmeric, for overall health benefits.</t>
  </si>
  <si>
    <t>9lgz50</t>
  </si>
  <si>
    <t>I have a baby who's just learning to crawl, so I need to be sure the plant won't harm her.</t>
  </si>
  <si>
    <t>4nqs21</t>
  </si>
  <si>
    <t>I love my cat too much to take any chances, so I opt for non-toxic plants.</t>
  </si>
  <si>
    <t>5vtj80</t>
  </si>
  <si>
    <t>I want my plants to be one-of-a-kind.</t>
  </si>
  <si>
    <t>6rvz13</t>
  </si>
  <si>
    <t>I prefer plants that are compact and won't take up too much space on my balcony or porch.</t>
  </si>
  <si>
    <t>3kdc19</t>
  </si>
  <si>
    <t>I love using plants in my cooking, so I choose ones that have unique and interesting flavors, like cilantro.</t>
  </si>
  <si>
    <t>0uyn15</t>
  </si>
  <si>
    <t>I always make sure the plant doesn't require too much water because I tend to forget to water them.</t>
  </si>
  <si>
    <t>2ncw65</t>
  </si>
  <si>
    <t>I always research the plant to make sure it won't pose a risk to my kids or pets.</t>
  </si>
  <si>
    <t>6wzx59</t>
  </si>
  <si>
    <t>I don't want to take any chances, so I always choose non-toxic plants.</t>
  </si>
  <si>
    <t>7esk95</t>
  </si>
  <si>
    <t>I want to improve my respiratory health, so I choose plants that are known for their respiratory benefits, like eucalyptus.</t>
  </si>
  <si>
    <t>0fqk85</t>
  </si>
  <si>
    <t>I prefer small plants that won't take up too much space in my apartment.</t>
  </si>
  <si>
    <t>3zek73</t>
  </si>
  <si>
    <t>I prefer plants that are large and leafy, so they make a big impact in my space.</t>
  </si>
  <si>
    <t>9bxk79</t>
  </si>
  <si>
    <t>I love using plants in my home decor, so I choose ones that have unique and interesting shapes and textures.</t>
  </si>
  <si>
    <t>4ryz04</t>
  </si>
  <si>
    <t>I have a young child, so I need to be sure the plant is safe for her.</t>
  </si>
  <si>
    <t>maintenance</t>
  </si>
  <si>
    <t>safe-for-pets</t>
  </si>
  <si>
    <t>every few months</t>
  </si>
  <si>
    <t>pet-safe information</t>
  </si>
  <si>
    <t>ceramic</t>
  </si>
  <si>
    <t>monthly</t>
  </si>
  <si>
    <t>terracotta</t>
  </si>
  <si>
    <t>weekly</t>
  </si>
  <si>
    <t>light requirements</t>
  </si>
  <si>
    <t>plastic</t>
  </si>
  <si>
    <t>watering frequency &amp; amount</t>
  </si>
  <si>
    <t>hanging baskets</t>
  </si>
  <si>
    <t>rarely, only for special occasions</t>
  </si>
  <si>
    <t>propagation techniques</t>
  </si>
  <si>
    <t>wall-mounted planters</t>
  </si>
  <si>
    <t>soil type &amp; fertilization</t>
  </si>
  <si>
    <t>metal</t>
  </si>
  <si>
    <t>once a year</t>
  </si>
  <si>
    <r>
      <rPr>
        <b/>
        <sz val="26"/>
        <color theme="0"/>
        <rFont val="Calibri"/>
        <family val="2"/>
        <scheme val="minor"/>
      </rPr>
      <t>Milestone |</t>
    </r>
    <r>
      <rPr>
        <sz val="26"/>
        <color theme="0"/>
        <rFont val="Calibri"/>
        <family val="2"/>
        <scheme val="minor"/>
      </rPr>
      <t xml:space="preserve"> Terracotta Survey Analysis</t>
    </r>
  </si>
  <si>
    <t>Eben at Terracotta wants to analyze his customer survey data. Remember, he has three very specific questions he needs answers to:</t>
  </si>
  <si>
    <t>1)</t>
  </si>
  <si>
    <t>Which types of plants are most frequently purchased by customers?</t>
  </si>
  <si>
    <t>2)</t>
  </si>
  <si>
    <t>Are there any factors in choosing to buy a plant that are consistently important to customers?</t>
  </si>
  <si>
    <t>3)</t>
  </si>
  <si>
    <t>What information should we advertise to boost Terracotta sales?</t>
  </si>
  <si>
    <t>Task 1: Frequent Purchases</t>
  </si>
  <si>
    <t>Eben asked us to uncover which types of plants are most frequently purchased by customers. Terracotta maintains a list of care requirements (e.g. light requirements, watering frequency) by plant type. This is in the sheet called plant-info.</t>
  </si>
  <si>
    <t>(a)</t>
  </si>
  <si>
    <r>
      <t xml:space="preserve">In the maintenance column of the responses table, use the </t>
    </r>
    <r>
      <rPr>
        <b/>
        <sz val="12"/>
        <color theme="1"/>
        <rFont val="Calibri"/>
        <family val="2"/>
        <scheme val="minor"/>
      </rPr>
      <t>XLOOKUP</t>
    </r>
    <r>
      <rPr>
        <sz val="12"/>
        <color theme="1"/>
        <rFont val="Calibri"/>
        <family val="2"/>
        <scheme val="minor"/>
      </rPr>
      <t xml:space="preserve"> function to lookup the response to the question “What type of plants do you typically purchase?” (plant_types) and return the maintenance level required by the plant.</t>
    </r>
  </si>
  <si>
    <t>(b)</t>
  </si>
  <si>
    <r>
      <t xml:space="preserve">In the safe-for-pets column of the responses table, use the </t>
    </r>
    <r>
      <rPr>
        <b/>
        <sz val="12"/>
        <color theme="1"/>
        <rFont val="Calibri"/>
        <family val="2"/>
        <scheme val="minor"/>
      </rPr>
      <t>XLOOKUP</t>
    </r>
    <r>
      <rPr>
        <sz val="12"/>
        <color theme="1"/>
        <rFont val="Calibri"/>
        <family val="2"/>
        <scheme val="minor"/>
      </rPr>
      <t xml:space="preserve"> function again to lookup the response to the question “What type of plants do you typically purchase?” (plant_types) and return whether or not the plant is safe for pets and children.</t>
    </r>
  </si>
  <si>
    <t>(c)</t>
  </si>
  <si>
    <t>Next, use a PivotTable to group the survey responses by the maintenance level and counts the number of responses for each level of maintenance.</t>
  </si>
  <si>
    <t>(d)</t>
  </si>
  <si>
    <t>Which plant maintenance level is most frequently purchased by customers?</t>
  </si>
  <si>
    <t>(e)</t>
  </si>
  <si>
    <t>What percentage of all survey responses list low-maintenance plants as the type of plant they most frequently purchase?</t>
  </si>
  <si>
    <t>(f)</t>
  </si>
  <si>
    <t xml:space="preserve">What percentage of all survey responses list safe for pets &amp; children as the type of plant they most frequently purchase? </t>
  </si>
  <si>
    <t>Task 2: Reasons for Purchase</t>
  </si>
  <si>
    <t>Eben is really eager to understand what’s driving plant moms and plant dads to decide which ready-to-nurture plants they want to take home. Lucky for us, a more senior analyst already assigned a category to each and every free response from the survey. The categorization is in the free-response-analysis sheet.</t>
  </si>
  <si>
    <r>
      <t xml:space="preserve">In the reason_for_purchase column of the responses table, use the </t>
    </r>
    <r>
      <rPr>
        <b/>
        <sz val="12"/>
        <color theme="1"/>
        <rFont val="Calibri"/>
        <family val="2"/>
        <scheme val="minor"/>
      </rPr>
      <t>XLOOKUP</t>
    </r>
    <r>
      <rPr>
        <sz val="12"/>
        <color theme="1"/>
        <rFont val="Calibri"/>
        <family val="2"/>
        <scheme val="minor"/>
      </rPr>
      <t xml:space="preserve"> function to lookup the free response to the question “What factor is most important to you when choosing a plant to buy?” and return the reason for purchase category.</t>
    </r>
  </si>
  <si>
    <t xml:space="preserve">Use a PivotTable to group the survey responses by the reason_for_purchase categories and counts the number of responses in each category. Sort the number of responses in each category from biggest to smallest. </t>
  </si>
  <si>
    <t>What percentage of all survey responses list care requirements (e.g. maintenance, light requirements, watering frequency, etc.)  as the most important factor in choosing a plant to buy?</t>
  </si>
  <si>
    <t>What percentage of all survey responses list whether or not a plant is pet-friendly or safe for children as the most important factor in choosing what to buy?</t>
  </si>
  <si>
    <t>Insert your PivotTables below</t>
  </si>
  <si>
    <t>Row Labels</t>
  </si>
  <si>
    <t>Count of maintenance</t>
  </si>
  <si>
    <t>Count of maintenance2</t>
  </si>
  <si>
    <t>Grand Total</t>
  </si>
  <si>
    <t>Count of safe-for-pets</t>
  </si>
  <si>
    <t>Count of reason_for_purchase</t>
  </si>
  <si>
    <t>Percentage of responses</t>
  </si>
  <si>
    <t>Task 3: A Recommendation for Terracotta</t>
  </si>
  <si>
    <t>Let’s get back to Eben's main concern that motivated this analysis. How might Eben use what you found as part of a potential marketing or advertising strategy? Are there ways that you can use what you learned to drive success in online plant sales?</t>
  </si>
  <si>
    <t>Craft a data-driven recommendation to Eben.</t>
  </si>
  <si>
    <t xml:space="preserve">Eben should priortize making it easy for customers to find plants that fit their lifestyle. First, they can feature low-maintenance plants prominently since 79.26% of responses stated that these plants are the ones they most frequently purchase. Second, they can use care requirements as a primary navigation filter since these are the top purchase factor at 26.73%. Customers should be able to quickly filter plants by maintenance level, watering frequency, sunlight needs, and difficulty. Third, they can highlight pet-friendly and child-safe plants by creating a dedicated "Pet-Friendly &amp; Child-Safe" collection since 25.81% of customers priortize safety. Additionally, they can market the benefits of plants and emphasize their advantages. Lastly, they can continue offering medium and high-maintenance plants to appeal to experienced plant owners, but these shouldn't be the primary focus.
Overall, during marketing they should target beginners, create family and pet focused campaigns, produce educational content, and personalize recommendations. </t>
  </si>
  <si>
    <t>LevelUp: Understanding Customer Segments</t>
  </si>
  <si>
    <t>Do customers who buy plants more frequently (like every week or month) care about the same things as customers who only buy once a year or for special occasions? For this LevelUp, you'll use explore how purchase frequency relates to what customers value most when choosing a plant.</t>
  </si>
  <si>
    <r>
      <t xml:space="preserve">Build a PivotTable that groups all survey responses by how often customers purchase plants (the </t>
    </r>
    <r>
      <rPr>
        <b/>
        <sz val="12"/>
        <color theme="1"/>
        <rFont val="Calibri"/>
        <family val="2"/>
        <scheme val="minor"/>
      </rPr>
      <t>freq</t>
    </r>
    <r>
      <rPr>
        <sz val="12"/>
        <color theme="1"/>
        <rFont val="Calibri"/>
        <family val="2"/>
        <scheme val="minor"/>
      </rPr>
      <t xml:space="preserve"> column) and counts how many responses fall into each frequency category.</t>
    </r>
  </si>
  <si>
    <r>
      <t xml:space="preserve">Add reason_for_purchase to the rows of your PivotTable. Then, change the value settings to display the counts as </t>
    </r>
    <r>
      <rPr>
        <b/>
        <sz val="12"/>
        <color theme="1"/>
        <rFont val="Calibri"/>
        <family val="2"/>
        <scheme val="minor"/>
      </rPr>
      <t xml:space="preserve">% of Parent Row Total </t>
    </r>
    <r>
      <rPr>
        <sz val="12"/>
        <color theme="1"/>
        <rFont val="Calibri"/>
        <family val="2"/>
        <scheme val="minor"/>
      </rPr>
      <t>(so you can see what percentage of each frequency group chose each reason).</t>
    </r>
  </si>
  <si>
    <t>Look for patterns. Do frequent plant buyers care more about care requirements? Are occasional buyers more focused on price or pet safety? Write three short bullet points summarizing your key takeaways that you could share with Eben to help him understand what the data shows about different types of customers.</t>
  </si>
  <si>
    <t>People who buy plants more frequently care more about the care requirements and pet-friendly/safe for children qualities. People who buy plants occasionally are more focused on pet safety and benefits. Overall, the top three reasons for purchasing plants across the baord are the care requirements, toxicity, and benefits.</t>
  </si>
  <si>
    <t>Insert your PivotTable below</t>
  </si>
  <si>
    <t>Count of freq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</si>
</sst>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1"/>
      <color theme="1"/>
      <name val="Calibri"/>
      <family val="2"/>
      <scheme val="minor"/>
    </font>
    <font>
      <sz val="11"/>
      <color theme="0"/>
      <name val="Calibri"/>
      <family val="2"/>
      <scheme val="minor"/>
    </font>
    <font>
      <b/>
      <sz val="26"/>
      <color theme="0"/>
      <name val="Calibri"/>
      <family val="2"/>
      <scheme val="minor"/>
    </font>
    <font>
      <sz val="26"/>
      <color theme="0"/>
      <name val="Calibri"/>
      <family val="2"/>
      <scheme val="minor"/>
    </font>
    <font>
      <b/>
      <sz val="18"/>
      <color rgb="FF000000"/>
      <name val="Calibri"/>
      <family val="2"/>
      <scheme val="minor"/>
    </font>
    <font>
      <b/>
      <sz val="12"/>
      <color theme="1"/>
      <name val="Calibri"/>
      <family val="2"/>
      <scheme val="minor"/>
    </font>
    <font>
      <b/>
      <sz val="12"/>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theme="5"/>
      </patternFill>
    </fill>
    <fill>
      <patternFill patternType="solid">
        <fgColor rgb="FF72D1ED"/>
        <bgColor indexed="64"/>
      </patternFill>
    </fill>
    <fill>
      <patternFill patternType="solid">
        <fgColor rgb="FFDDEBF8"/>
        <bgColor indexed="64"/>
      </patternFill>
    </fill>
    <fill>
      <patternFill patternType="solid">
        <fgColor theme="0" tint="-0.14999847407452621"/>
        <bgColor indexed="64"/>
      </patternFill>
    </fill>
    <fill>
      <patternFill patternType="solid">
        <fgColor theme="2"/>
        <bgColor indexed="64"/>
      </patternFill>
    </fill>
  </fills>
  <borders count="8">
    <border>
      <left/>
      <right/>
      <top/>
      <bottom/>
      <diagonal/>
    </border>
    <border>
      <left style="medium">
        <color theme="0"/>
      </left>
      <right style="medium">
        <color theme="0"/>
      </right>
      <top style="medium">
        <color theme="0"/>
      </top>
      <bottom style="medium">
        <color theme="0"/>
      </bottom>
      <diagonal/>
    </border>
    <border>
      <left/>
      <right/>
      <top style="medium">
        <color theme="0"/>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0"/>
      </left>
      <right/>
      <top style="medium">
        <color theme="0"/>
      </top>
      <bottom style="medium">
        <color theme="0"/>
      </bottom>
      <diagonal/>
    </border>
    <border>
      <left style="medium">
        <color theme="0"/>
      </left>
      <right style="medium">
        <color theme="0"/>
      </right>
      <top/>
      <bottom style="medium">
        <color theme="0"/>
      </bottom>
      <diagonal/>
    </border>
    <border>
      <left/>
      <right style="medium">
        <color theme="0"/>
      </right>
      <top style="medium">
        <color theme="0"/>
      </top>
      <bottom/>
      <diagonal/>
    </border>
    <border>
      <left/>
      <right style="medium">
        <color theme="0"/>
      </right>
      <top/>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48">
    <xf numFmtId="0" fontId="0" fillId="0" borderId="0" xfId="0"/>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0" borderId="2" xfId="0" applyFont="1" applyBorder="1" applyAlignment="1">
      <alignment horizontal="left" vertical="center"/>
    </xf>
    <xf numFmtId="0" fontId="6" fillId="4" borderId="3" xfId="0" applyFont="1" applyFill="1" applyBorder="1" applyAlignment="1">
      <alignment horizontal="center"/>
    </xf>
    <xf numFmtId="0" fontId="6" fillId="4" borderId="3" xfId="0" applyFont="1" applyFill="1" applyBorder="1" applyAlignment="1">
      <alignment horizontal="center"/>
    </xf>
    <xf numFmtId="0" fontId="0" fillId="0" borderId="3" xfId="0" applyBorder="1" applyAlignment="1">
      <alignment vertical="center"/>
    </xf>
    <xf numFmtId="0" fontId="0" fillId="0" borderId="3" xfId="0" applyBorder="1" applyAlignment="1">
      <alignment horizontal="left" wrapText="1"/>
    </xf>
    <xf numFmtId="0" fontId="0" fillId="5" borderId="3" xfId="0" applyFill="1" applyBorder="1" applyAlignment="1">
      <alignment vertical="center"/>
    </xf>
    <xf numFmtId="0" fontId="0" fillId="5" borderId="3" xfId="0" applyFill="1" applyBorder="1" applyAlignment="1">
      <alignment wrapText="1"/>
    </xf>
    <xf numFmtId="0" fontId="0" fillId="0" borderId="3" xfId="0" applyBorder="1" applyAlignment="1">
      <alignment vertical="center"/>
    </xf>
    <xf numFmtId="0" fontId="0" fillId="0" borderId="3" xfId="0" applyBorder="1" applyAlignment="1">
      <alignment wrapText="1"/>
    </xf>
    <xf numFmtId="0" fontId="0" fillId="5" borderId="3" xfId="0" applyFill="1" applyBorder="1" applyAlignment="1">
      <alignment vertical="center"/>
    </xf>
    <xf numFmtId="0" fontId="0" fillId="0" borderId="3" xfId="0" applyBorder="1"/>
    <xf numFmtId="0" fontId="0" fillId="0" borderId="3" xfId="0" applyBorder="1" applyAlignment="1">
      <alignment horizontal="left"/>
    </xf>
    <xf numFmtId="0" fontId="0" fillId="5" borderId="3" xfId="0" applyFill="1" applyBorder="1"/>
    <xf numFmtId="0" fontId="0" fillId="5" borderId="3" xfId="0" applyFill="1" applyBorder="1" applyAlignment="1">
      <alignment horizontal="left"/>
    </xf>
    <xf numFmtId="0" fontId="0" fillId="5" borderId="3" xfId="0" applyFill="1" applyBorder="1" applyAlignment="1">
      <alignment horizontal="left" wrapText="1"/>
    </xf>
    <xf numFmtId="0" fontId="2" fillId="2" borderId="0" xfId="2"/>
    <xf numFmtId="0" fontId="0" fillId="4" borderId="1" xfId="0" applyFill="1" applyBorder="1" applyAlignment="1">
      <alignment horizontal="center" wrapText="1"/>
    </xf>
    <xf numFmtId="0" fontId="0" fillId="4" borderId="1" xfId="0" applyFill="1" applyBorder="1"/>
    <xf numFmtId="0" fontId="0" fillId="3" borderId="1" xfId="0" applyFill="1" applyBorder="1" applyAlignment="1">
      <alignment horizontal="right"/>
    </xf>
    <xf numFmtId="0" fontId="8" fillId="3" borderId="1" xfId="0" applyFont="1" applyFill="1" applyBorder="1" applyAlignment="1">
      <alignment horizontal="center"/>
    </xf>
    <xf numFmtId="0" fontId="0" fillId="4" borderId="1" xfId="0" applyFill="1" applyBorder="1" applyAlignment="1">
      <alignment horizontal="left" vertical="center" wrapText="1"/>
    </xf>
    <xf numFmtId="0" fontId="0" fillId="3" borderId="1" xfId="0" applyFill="1" applyBorder="1" applyAlignment="1">
      <alignment horizontal="center" vertical="center"/>
    </xf>
    <xf numFmtId="0" fontId="0" fillId="4" borderId="1" xfId="0" applyFill="1" applyBorder="1" applyAlignment="1">
      <alignment horizontal="left" vertical="center"/>
    </xf>
    <xf numFmtId="0" fontId="0" fillId="6" borderId="1" xfId="0" applyFill="1" applyBorder="1" applyAlignment="1">
      <alignment horizontal="left" vertical="center"/>
    </xf>
    <xf numFmtId="10" fontId="0" fillId="6" borderId="1" xfId="0" applyNumberFormat="1" applyFill="1" applyBorder="1" applyAlignment="1">
      <alignment horizontal="left" vertical="center"/>
    </xf>
    <xf numFmtId="10" fontId="0" fillId="6" borderId="1" xfId="1" applyNumberFormat="1" applyFont="1"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7" fillId="3" borderId="0" xfId="0" applyFont="1" applyFill="1" applyAlignment="1">
      <alignment horizontal="center"/>
    </xf>
    <xf numFmtId="0" fontId="0" fillId="0" borderId="0" xfId="0" applyAlignment="1">
      <alignment horizontal="left"/>
    </xf>
    <xf numFmtId="10" fontId="0" fillId="0" borderId="0" xfId="0" applyNumberFormat="1"/>
    <xf numFmtId="0" fontId="0" fillId="0" borderId="0" xfId="0" pivotButton="1"/>
    <xf numFmtId="0" fontId="0" fillId="4" borderId="1" xfId="0" applyFill="1" applyBorder="1" applyAlignment="1">
      <alignment horizontal="left" wrapText="1"/>
    </xf>
    <xf numFmtId="0" fontId="0" fillId="0" borderId="0" xfId="0" applyFill="1" applyBorder="1" applyAlignment="1">
      <alignment vertical="center" wrapText="1"/>
    </xf>
    <xf numFmtId="0" fontId="0" fillId="0" borderId="0" xfId="0" applyFill="1"/>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0" borderId="0" xfId="0" applyAlignment="1">
      <alignment horizontal="left" indent="1"/>
    </xf>
    <xf numFmtId="0" fontId="7" fillId="0" borderId="0" xfId="0" applyFont="1" applyFill="1" applyAlignment="1"/>
    <xf numFmtId="0" fontId="0" fillId="3" borderId="5" xfId="0" applyFill="1" applyBorder="1" applyAlignment="1">
      <alignment horizontal="center" vertical="center"/>
    </xf>
    <xf numFmtId="0" fontId="0" fillId="6" borderId="4" xfId="0" applyFill="1" applyBorder="1" applyAlignment="1">
      <alignment horizontal="left" vertical="center"/>
    </xf>
    <xf numFmtId="0" fontId="0" fillId="6" borderId="2" xfId="0" applyFill="1" applyBorder="1" applyAlignment="1">
      <alignment horizontal="left" vertical="center" wrapText="1"/>
    </xf>
    <xf numFmtId="0" fontId="0" fillId="6" borderId="0" xfId="0" applyFill="1" applyBorder="1" applyAlignment="1">
      <alignment horizontal="left" vertical="center" wrapText="1"/>
    </xf>
    <xf numFmtId="0" fontId="0" fillId="4" borderId="2" xfId="0" applyFill="1" applyBorder="1" applyAlignment="1">
      <alignment horizontal="left" vertical="center" wrapText="1"/>
    </xf>
    <xf numFmtId="0" fontId="0" fillId="4" borderId="0" xfId="0" applyFill="1" applyBorder="1" applyAlignment="1">
      <alignment horizontal="left" vertical="center" wrapText="1"/>
    </xf>
  </cellXfs>
  <cellStyles count="3">
    <cellStyle name="Accent2" xfId="2" builtinId="33"/>
    <cellStyle name="Normal" xfId="0" builtinId="0"/>
    <cellStyle name="Percent" xfId="1" builtinId="5"/>
  </cellStyles>
  <dxfs count="4">
    <dxf>
      <fill>
        <patternFill>
          <bgColor theme="5" tint="0.79998168889431442"/>
        </patternFill>
      </fill>
    </dxf>
    <dxf>
      <numFmt numFmtId="0" formatCode="General"/>
    </dxf>
    <dxf>
      <numFmt numFmtId="0" formatCode="General"/>
    </dxf>
    <dxf>
      <numFmt numFmtId="0" formatCode="General"/>
    </dxf>
  </dxfs>
  <tableStyles count="0" defaultTableStyle="TableStyleMedium2" defaultPivotStyle="PivotStyleLight16"/>
  <colors>
    <mruColors>
      <color rgb="FF72D1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shu_/Downloads/Milestone-Terracot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garg" refreshedDate="46224.638616898148" createdVersion="8" refreshedVersion="8" minRefreshableVersion="3" recordCount="217" xr:uid="{A01B3859-DA8C-4A84-BB61-9143E09FA158}">
  <cacheSource type="worksheet">
    <worksheetSource name="responses" r:id="rId2"/>
  </cacheSource>
  <cacheFields count="9">
    <cacheField name="survey_id" numFmtId="0">
      <sharedItems/>
    </cacheField>
    <cacheField name="plant_types" numFmtId="0">
      <sharedItems count="29">
        <s v="ZZ Plant"/>
        <s v="Hoya"/>
        <s v="Chinese Evergreen"/>
        <s v="Boston Fern"/>
        <s v="Begonia"/>
        <s v="Schefflera"/>
        <s v="Maidenhair Fern"/>
        <s v="Parlour Palm"/>
        <s v="Peperomia"/>
        <s v="Cast-Iron Plant"/>
        <s v="Phalaenopsis"/>
        <s v="Calathea"/>
        <s v="Philodendron Vines"/>
        <s v="Polka Dot Plant"/>
        <s v="Air Plants"/>
        <s v="Fiddle Leaf Fig"/>
        <s v="Philodendrons"/>
        <s v="Monstera"/>
        <s v="Prayer Plant"/>
        <s v="Norfolk Island Pine"/>
        <s v="Yucca"/>
        <s v="Christmas Cactus"/>
        <s v="Peace Lily"/>
        <s v="Cordyline"/>
        <s v="Succulents"/>
        <s v="Staghorn Fern"/>
        <s v="Croton"/>
        <s v="Rubber Plant"/>
        <s v="Bird's Nest Fern"/>
      </sharedItems>
    </cacheField>
    <cacheField name="maintenance" numFmtId="0">
      <sharedItems count="3">
        <s v="low-maintenance"/>
        <s v="med-maintenance"/>
        <s v="high-maintenance"/>
      </sharedItems>
    </cacheField>
    <cacheField name="safe-for-pets" numFmtId="0">
      <sharedItems count="2">
        <s v="safe for pets &amp; children"/>
        <s v="toxic"/>
      </sharedItems>
    </cacheField>
    <cacheField name="reason_for_purchase_free_response" numFmtId="0">
      <sharedItems/>
    </cacheField>
    <cacheField name="reason_for_purchase" numFmtId="0">
      <sharedItems containsBlank="1" count="8">
        <s v="care requirements"/>
        <s v="benefits"/>
        <s v="pet-friendly or safe for children"/>
        <s v="size"/>
        <s v="rare or unique species"/>
        <s v="price"/>
        <e v="#N/A" u="1"/>
        <m u="1"/>
      </sharedItems>
    </cacheField>
    <cacheField name="freq" numFmtId="0">
      <sharedItems count="5">
        <s v="every few months"/>
        <s v="monthly"/>
        <s v="weekly"/>
        <s v="rarely, only for special occasions"/>
        <s v="once a year"/>
      </sharedItems>
    </cacheField>
    <cacheField name="care_info" numFmtId="0">
      <sharedItems/>
    </cacheField>
    <cacheField name="pot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
  <r>
    <s v="8nju37"/>
    <x v="0"/>
    <x v="0"/>
    <x v="0"/>
    <s v="Low maintenance and pet-friendly are my top priorities when choosing a plant."/>
    <x v="0"/>
    <x v="0"/>
    <s v="pet-safe information"/>
    <s v="ceramic"/>
  </r>
  <r>
    <s v="1gys03"/>
    <x v="1"/>
    <x v="0"/>
    <x v="0"/>
    <s v="I love using plants in my beauty routine, so I choose ones that have natural healing properties, like tea tree oil."/>
    <x v="1"/>
    <x v="1"/>
    <s v="pet-safe information"/>
    <s v="terracotta"/>
  </r>
  <r>
    <s v="0bfv17"/>
    <x v="2"/>
    <x v="0"/>
    <x v="0"/>
    <s v="I always make sure the plant is non-toxic to my cat."/>
    <x v="2"/>
    <x v="2"/>
    <s v="light requirements"/>
    <s v="ceramic"/>
  </r>
  <r>
    <s v="7ekg91"/>
    <x v="3"/>
    <x v="1"/>
    <x v="0"/>
    <s v="Low maintenance and pet-safe are the two factors I always consider when buying a plant."/>
    <x v="0"/>
    <x v="0"/>
    <s v="pet-safe information"/>
    <s v="plastic"/>
  </r>
  <r>
    <s v="1fzy30"/>
    <x v="4"/>
    <x v="1"/>
    <x v="0"/>
    <s v="I prefer plants that have natural anti-aging properties, like acai berries, for overall health benefits."/>
    <x v="1"/>
    <x v="2"/>
    <s v="watering frequency &amp; amount"/>
    <s v="hanging baskets"/>
  </r>
  <r>
    <s v="2caw97"/>
    <x v="5"/>
    <x v="0"/>
    <x v="0"/>
    <s v="I want my plants to be a source of relaxation, not added stress, so I choose low-maintenance options."/>
    <x v="0"/>
    <x v="3"/>
    <s v="pet-safe information"/>
    <s v="ceramic"/>
  </r>
  <r>
    <s v="2mas20"/>
    <x v="6"/>
    <x v="1"/>
    <x v="0"/>
    <s v="I'm not the best with plants, so I choose ones that are known for being easy to care for."/>
    <x v="0"/>
    <x v="1"/>
    <s v="propagation techniques"/>
    <s v="terracotta"/>
  </r>
  <r>
    <s v="9tad61"/>
    <x v="0"/>
    <x v="0"/>
    <x v="0"/>
    <s v="I prefer plants that are small and easy to move around, so I can change up my decor often."/>
    <x v="3"/>
    <x v="3"/>
    <s v="watering frequency &amp; amount"/>
    <s v="wall-mounted planters"/>
  </r>
  <r>
    <s v="5kau98"/>
    <x v="0"/>
    <x v="0"/>
    <x v="0"/>
    <s v="I don't have a lot of space, so I choose plants that are small and easy to care for."/>
    <x v="3"/>
    <x v="1"/>
    <s v="propagation techniques"/>
    <s v="plastic"/>
  </r>
  <r>
    <s v="1kjz94"/>
    <x v="7"/>
    <x v="0"/>
    <x v="0"/>
    <s v="I want my plants to be Instagram-worthy, so I choose rare ones, no matter the cost."/>
    <x v="4"/>
    <x v="3"/>
    <s v="soil type &amp; fertilization"/>
    <s v="hanging baskets"/>
  </r>
  <r>
    <s v="9hik85"/>
    <x v="0"/>
    <x v="0"/>
    <x v="0"/>
    <s v="safety for my children is my top priority, so I look for plants that won't harm them."/>
    <x v="2"/>
    <x v="0"/>
    <s v="light requirements"/>
    <s v="hanging baskets"/>
  </r>
  <r>
    <s v="7cuh94"/>
    <x v="5"/>
    <x v="0"/>
    <x v="0"/>
    <s v="I only buy plants that are safe for both kids and pets."/>
    <x v="2"/>
    <x v="1"/>
    <s v="light requirements"/>
    <s v="terracotta"/>
  </r>
  <r>
    <s v="0onh83"/>
    <x v="2"/>
    <x v="0"/>
    <x v="0"/>
    <s v="I'm not the best at keeping plants alive, so I always choose low-maintenance options."/>
    <x v="0"/>
    <x v="1"/>
    <s v="pet-safe information"/>
    <s v="ceramic"/>
  </r>
  <r>
    <s v="1oqc93"/>
    <x v="2"/>
    <x v="0"/>
    <x v="0"/>
    <s v="I only buy plants that are drought-tolerant because I'm not great at remembering to water them."/>
    <x v="0"/>
    <x v="0"/>
    <s v="watering frequency &amp; amount"/>
    <s v="plastic"/>
  </r>
  <r>
    <s v="4nqv16"/>
    <x v="8"/>
    <x v="0"/>
    <x v="0"/>
    <s v="Low maintenance plants that can thrive in low light are perfect for my apartment."/>
    <x v="0"/>
    <x v="0"/>
    <s v="light requirements"/>
    <s v="wall-mounted planters"/>
  </r>
  <r>
    <s v="5otu13"/>
    <x v="9"/>
    <x v="0"/>
    <x v="0"/>
    <s v="I always look for plants that have air-purifying qualities for a healthier home."/>
    <x v="1"/>
    <x v="1"/>
    <s v="light requirements"/>
    <s v="ceramic"/>
  </r>
  <r>
    <s v="5bsz56"/>
    <x v="10"/>
    <x v="1"/>
    <x v="0"/>
    <s v="I prefer plants that have natural anti-inflammatory properties, like turmeric, for overall health benefits."/>
    <x v="1"/>
    <x v="1"/>
    <s v="watering frequency &amp; amount"/>
    <s v="terracotta"/>
  </r>
  <r>
    <s v="7tem78"/>
    <x v="1"/>
    <x v="0"/>
    <x v="0"/>
    <s v="I love using plants in my tea blends, so I choose ones that have unique and interesting flavors, like hibiscus."/>
    <x v="1"/>
    <x v="2"/>
    <s v="light requirements"/>
    <s v="plastic"/>
  </r>
  <r>
    <s v="7lra04"/>
    <x v="7"/>
    <x v="0"/>
    <x v="0"/>
    <s v="I prefer plants that have natural pain-relieving properties, like chamomile, for headaches and cramps."/>
    <x v="1"/>
    <x v="1"/>
    <s v="watering frequency &amp; amount"/>
    <s v="hanging baskets"/>
  </r>
  <r>
    <s v="1fst62"/>
    <x v="9"/>
    <x v="0"/>
    <x v="0"/>
    <s v="I want plants that require little care and attention since I'm not the best at keeping them alive."/>
    <x v="0"/>
    <x v="1"/>
    <s v="light requirements"/>
    <s v="terracotta"/>
  </r>
  <r>
    <s v="5vtj80"/>
    <x v="2"/>
    <x v="0"/>
    <x v="0"/>
    <s v="I want my plants to be one-of-a-kind."/>
    <x v="4"/>
    <x v="0"/>
    <s v="pet-safe information"/>
    <s v="terracotta"/>
  </r>
  <r>
    <s v="9imf89"/>
    <x v="11"/>
    <x v="2"/>
    <x v="0"/>
    <s v="I have a dog, so I always check if the plant is pet-friendly."/>
    <x v="2"/>
    <x v="1"/>
    <s v="light requirements"/>
    <s v="terracotta"/>
  </r>
  <r>
    <s v="6rlw91"/>
    <x v="7"/>
    <x v="0"/>
    <x v="0"/>
    <s v="I don't have a green thumb, so I need a plant that's easy to care for."/>
    <x v="0"/>
    <x v="1"/>
    <s v="watering frequency &amp; amount"/>
    <s v="hanging baskets"/>
  </r>
  <r>
    <s v="6dcl35"/>
    <x v="1"/>
    <x v="0"/>
    <x v="0"/>
    <s v="I like to buy plants that are small enough to fit on my windowsill."/>
    <x v="3"/>
    <x v="2"/>
    <s v="light requirements"/>
    <s v="terracotta"/>
  </r>
  <r>
    <s v="4yvt12"/>
    <x v="2"/>
    <x v="0"/>
    <x v="0"/>
    <s v="I love plants that have aromatherapy benefits, like lavender, to help me relax and sleep better."/>
    <x v="1"/>
    <x v="3"/>
    <s v="watering frequency &amp; amount"/>
    <s v="plastic"/>
  </r>
  <r>
    <s v="8yoq59"/>
    <x v="5"/>
    <x v="0"/>
    <x v="0"/>
    <s v="I want plants that are easy to care for and don't require a lot of time or effort."/>
    <x v="0"/>
    <x v="0"/>
    <s v="light requirements"/>
    <s v="hanging baskets"/>
  </r>
  <r>
    <s v="2ieg62"/>
    <x v="0"/>
    <x v="0"/>
    <x v="0"/>
    <s v="I don't want to worry about keeping my plants near a window, so I choose options that can thrive in low light."/>
    <x v="0"/>
    <x v="0"/>
    <s v="light requirements"/>
    <s v="ceramic"/>
  </r>
  <r>
    <s v="4ing89"/>
    <x v="12"/>
    <x v="0"/>
    <x v="0"/>
    <s v="I like to have plants in every room of my house, so I choose small ones that I can scatter around."/>
    <x v="3"/>
    <x v="2"/>
    <s v="watering frequency &amp; amount"/>
    <s v="terracotta"/>
  </r>
  <r>
    <s v="3hkl06"/>
    <x v="1"/>
    <x v="0"/>
    <x v="0"/>
    <s v="I choose plants that have natural insect-repelling qualities, so I can avoid using harmful chemicals."/>
    <x v="1"/>
    <x v="0"/>
    <s v="watering frequency &amp; amount"/>
    <s v="terracotta"/>
  </r>
  <r>
    <s v="3hft85"/>
    <x v="12"/>
    <x v="0"/>
    <x v="0"/>
    <s v="I don't want to risk my cat getting sick, so I only buy plants that are safe for felines."/>
    <x v="2"/>
    <x v="0"/>
    <s v="propagation techniques"/>
    <s v="terracotta"/>
  </r>
  <r>
    <s v="4qha50"/>
    <x v="5"/>
    <x v="0"/>
    <x v="0"/>
    <s v="As a mom, I need to make sure any plant I bring home won't harm my kids."/>
    <x v="2"/>
    <x v="0"/>
    <s v="pet-safe information"/>
    <s v="wall-mounted planters"/>
  </r>
  <r>
    <s v="4fju64"/>
    <x v="9"/>
    <x v="0"/>
    <x v="0"/>
    <s v="I have a toddler, so safety is a major concern when buying plants."/>
    <x v="2"/>
    <x v="0"/>
    <s v="light requirements"/>
    <s v="wall-mounted planters"/>
  </r>
  <r>
    <s v="2ndy19"/>
    <x v="8"/>
    <x v="0"/>
    <x v="0"/>
    <s v="I prefer plants that have natural anti-inflammatory properties, like omega-3 rich flax seeds, for overall health benefits."/>
    <x v="1"/>
    <x v="0"/>
    <s v="light requirements"/>
    <s v="wall-mounted planters"/>
  </r>
  <r>
    <s v="3kjs23"/>
    <x v="2"/>
    <x v="0"/>
    <x v="0"/>
    <s v="I prefer plants that are non-toxic to pets and children."/>
    <x v="2"/>
    <x v="3"/>
    <s v="soil type &amp; fertilization"/>
    <s v="plastic"/>
  </r>
  <r>
    <s v="5ofy59"/>
    <x v="13"/>
    <x v="2"/>
    <x v="0"/>
    <s v="I want to be able to buy plants without feeling guilty about the cost, so I choose affordable options."/>
    <x v="5"/>
    <x v="0"/>
    <s v="soil type &amp; fertilization"/>
    <s v="plastic"/>
  </r>
  <r>
    <s v="5qcz80"/>
    <x v="14"/>
    <x v="1"/>
    <x v="0"/>
    <s v="I prefer plants that can go without water for a few days because I travel frequently."/>
    <x v="0"/>
    <x v="0"/>
    <s v="watering frequency &amp; amount"/>
    <s v="hanging baskets"/>
  </r>
  <r>
    <s v="3sui92"/>
    <x v="5"/>
    <x v="0"/>
    <x v="0"/>
    <s v="I choose plants that have natural immune-boosting properties, like echinacea, to stay healthy."/>
    <x v="1"/>
    <x v="1"/>
    <s v="light requirements"/>
    <s v="plastic"/>
  </r>
  <r>
    <s v="9nmu69"/>
    <x v="8"/>
    <x v="0"/>
    <x v="0"/>
    <s v="I choose plants that are small and fit in cute planters, so they're not too overwhelming."/>
    <x v="3"/>
    <x v="0"/>
    <s v="light requirements"/>
    <s v="terracotta"/>
  </r>
  <r>
    <s v="3zek73"/>
    <x v="9"/>
    <x v="0"/>
    <x v="0"/>
    <s v="I prefer plants that are large and leafy, so they make a big impact in my space."/>
    <x v="3"/>
    <x v="1"/>
    <s v="watering frequency &amp; amount"/>
    <s v="wall-mounted planters"/>
  </r>
  <r>
    <s v="6aez51"/>
    <x v="3"/>
    <x v="1"/>
    <x v="0"/>
    <s v="I don't want to spend more than I have to on plants, so I choose ones that are reasonably priced."/>
    <x v="5"/>
    <x v="0"/>
    <s v="pet-safe information"/>
    <s v="plastic"/>
  </r>
  <r>
    <s v="3vdt92"/>
    <x v="15"/>
    <x v="1"/>
    <x v="0"/>
    <s v="I don't want to spend a lot of money on plants that won't last, so I choose ones that are durable and long-lasting."/>
    <x v="5"/>
    <x v="3"/>
    <s v="propagation techniques"/>
    <s v="terracotta"/>
  </r>
  <r>
    <s v="0kws56"/>
    <x v="16"/>
    <x v="1"/>
    <x v="0"/>
    <s v="I love the challenge of growing rare plants that require special conditions."/>
    <x v="4"/>
    <x v="2"/>
    <s v="watering frequency &amp; amount"/>
    <s v="wall-mounted planters"/>
  </r>
  <r>
    <s v="4art60"/>
    <x v="9"/>
    <x v="0"/>
    <x v="0"/>
    <s v="I want to improve my joint health, so I choose plants that are known for their anti-inflammatory properties, like turmeric."/>
    <x v="1"/>
    <x v="0"/>
    <s v="watering frequency &amp; amount"/>
    <s v="terracotta"/>
  </r>
  <r>
    <s v="4efh75"/>
    <x v="8"/>
    <x v="0"/>
    <x v="0"/>
    <s v="Easy light requirements are important to me, since I don't have much natural light in my home."/>
    <x v="0"/>
    <x v="1"/>
    <s v="light requirements"/>
    <s v="plastic"/>
  </r>
  <r>
    <s v="1uyf07"/>
    <x v="10"/>
    <x v="1"/>
    <x v="0"/>
    <s v="I like to have plants that no one else has, so I choose super unique species."/>
    <x v="4"/>
    <x v="1"/>
    <s v="light requirements"/>
    <s v="hanging baskets"/>
  </r>
  <r>
    <s v="6hsq68"/>
    <x v="8"/>
    <x v="0"/>
    <x v="0"/>
    <s v="I look for plants that can survive with minimal watering because I don't have a lot of time to take care of them."/>
    <x v="0"/>
    <x v="0"/>
    <s v="watering frequency &amp; amount"/>
    <s v="terracotta"/>
  </r>
  <r>
    <s v="2jfn98"/>
    <x v="0"/>
    <x v="0"/>
    <x v="0"/>
    <s v="I always look for plants that are easy to care for and safe for my pets."/>
    <x v="0"/>
    <x v="0"/>
    <s v="pet-safe information"/>
    <s v="ceramic"/>
  </r>
  <r>
    <s v="5gdt69"/>
    <x v="1"/>
    <x v="0"/>
    <x v="0"/>
    <s v="I love plants that have natural anti-bacterial properties, like thyme, to keep my home clean and healthy."/>
    <x v="1"/>
    <x v="0"/>
    <s v="soil type &amp; fertilization"/>
    <s v="hanging baskets"/>
  </r>
  <r>
    <s v="5phm98"/>
    <x v="14"/>
    <x v="1"/>
    <x v="0"/>
    <s v="I have a dog and a baby, so I need to be extra careful about the plants I choose."/>
    <x v="2"/>
    <x v="0"/>
    <s v="watering frequency &amp; amount"/>
    <s v="terracotta"/>
  </r>
  <r>
    <s v="6twd42"/>
    <x v="0"/>
    <x v="0"/>
    <x v="0"/>
    <s v="I prefer plants that can tolerate low light, since I don't have many windows in my living space."/>
    <x v="0"/>
    <x v="0"/>
    <s v="light requirements"/>
    <s v="wall-mounted planters"/>
  </r>
  <r>
    <s v="5fdu75"/>
    <x v="10"/>
    <x v="1"/>
    <x v="0"/>
    <s v="I choose plants that have natural anti-anxiety properties, like valerian root, to reduce stress."/>
    <x v="1"/>
    <x v="1"/>
    <s v="watering frequency &amp; amount"/>
    <s v="hanging baskets"/>
  </r>
  <r>
    <s v="8szc32"/>
    <x v="2"/>
    <x v="0"/>
    <x v="0"/>
    <s v="I love finding good deals on plants, so I always look for sales and discounts."/>
    <x v="5"/>
    <x v="0"/>
    <s v="pet-safe information"/>
    <s v="plastic"/>
  </r>
  <r>
    <s v="2leu24"/>
    <x v="5"/>
    <x v="0"/>
    <x v="0"/>
    <s v="I prefer plants that are self-sufficient and don't require a lot of special care or attention."/>
    <x v="0"/>
    <x v="0"/>
    <s v="propagation techniques"/>
    <s v="terracotta"/>
  </r>
  <r>
    <s v="3rxl84"/>
    <x v="1"/>
    <x v="0"/>
    <x v="0"/>
    <s v="I don't want to worry about my cat getting into the plant, so I always choose non-toxic options."/>
    <x v="2"/>
    <x v="1"/>
    <s v="light requirements"/>
    <s v="ceramic"/>
  </r>
  <r>
    <s v="8auc35"/>
    <x v="7"/>
    <x v="0"/>
    <x v="0"/>
    <s v="I prefer plants that have natural anti-viral properties, like elderberry, to stay healthy during cold and flu season."/>
    <x v="1"/>
    <x v="0"/>
    <s v="pet-safe information"/>
    <s v="terracotta"/>
  </r>
  <r>
    <s v="0xob78"/>
    <x v="2"/>
    <x v="0"/>
    <x v="0"/>
    <s v="I choose plants that have natural stress-reducing properties to create a more relaxing environment."/>
    <x v="1"/>
    <x v="0"/>
    <s v="light requirements"/>
    <s v="hanging baskets"/>
  </r>
  <r>
    <s v="1rsg03"/>
    <x v="2"/>
    <x v="0"/>
    <x v="0"/>
    <s v="I prefer plants that have unique shapes, colors, or textures that are hard to find."/>
    <x v="4"/>
    <x v="1"/>
    <s v="watering frequency &amp; amount"/>
    <s v="ceramic"/>
  </r>
  <r>
    <s v="0bqz04"/>
    <x v="0"/>
    <x v="0"/>
    <x v="0"/>
    <s v="I choose plants that are affordable and won't require a lot of expensive equipment or supplies to care for."/>
    <x v="5"/>
    <x v="0"/>
    <s v="pet-safe information"/>
    <s v="terracotta"/>
  </r>
  <r>
    <s v="6hdm54"/>
    <x v="12"/>
    <x v="0"/>
    <x v="0"/>
    <s v="I don't have a green thumb, so I stick to low-maintenance plants."/>
    <x v="0"/>
    <x v="1"/>
    <s v="pet-safe information"/>
    <s v="terracotta"/>
  </r>
  <r>
    <s v="5kzm08"/>
    <x v="6"/>
    <x v="1"/>
    <x v="0"/>
    <s v="I want plants that are easy to care for and don't require a lot of attention or special care."/>
    <x v="0"/>
    <x v="3"/>
    <s v="light requirements"/>
    <s v="ceramic"/>
  </r>
  <r>
    <s v="0vtd06"/>
    <x v="7"/>
    <x v="0"/>
    <x v="0"/>
    <s v="I want to improve my indoor air quality, so I choose plants that are known to remove toxins."/>
    <x v="1"/>
    <x v="0"/>
    <s v="watering frequency &amp; amount"/>
    <s v="wall-mounted planters"/>
  </r>
  <r>
    <s v="5nrl71"/>
    <x v="0"/>
    <x v="0"/>
    <x v="0"/>
    <s v="I live in a small space with limited light, so low maintenance and low light requirements are important."/>
    <x v="0"/>
    <x v="2"/>
    <s v="light requirements"/>
    <s v="ceramic"/>
  </r>
  <r>
    <s v="8oyq63"/>
    <x v="1"/>
    <x v="0"/>
    <x v="0"/>
    <s v="I want to enjoy my plants without worrying about my dog or child getting sick."/>
    <x v="2"/>
    <x v="0"/>
    <s v="watering frequency &amp; amount"/>
    <s v="metal"/>
  </r>
  <r>
    <s v="4cpw64"/>
    <x v="8"/>
    <x v="0"/>
    <x v="0"/>
    <s v="I choose plants that are easy to move from room to room, so I can enjoy them anywhere in my home."/>
    <x v="3"/>
    <x v="0"/>
    <s v="watering frequency &amp; amount"/>
    <s v="plastic"/>
  </r>
  <r>
    <s v="4weu24"/>
    <x v="1"/>
    <x v="0"/>
    <x v="0"/>
    <s v="I prefer plants that don't require frequent watering because I don't want to waste resources."/>
    <x v="0"/>
    <x v="3"/>
    <s v="watering frequency &amp; amount"/>
    <s v="plastic"/>
  </r>
  <r>
    <s v="9dlw50"/>
    <x v="16"/>
    <x v="1"/>
    <x v="0"/>
    <s v="I want my plants to be a reflection of me. I‚Äôm pretty unique!"/>
    <x v="4"/>
    <x v="2"/>
    <s v="pet-safe information"/>
    <s v="terracotta"/>
  </r>
  <r>
    <s v="4nqs21"/>
    <x v="0"/>
    <x v="0"/>
    <x v="0"/>
    <s v="I love my cat too much to take any chances, so I opt for non-toxic plants."/>
    <x v="2"/>
    <x v="0"/>
    <s v="pet-safe information"/>
    <s v="ceramic"/>
  </r>
  <r>
    <s v="0zkn19"/>
    <x v="17"/>
    <x v="0"/>
    <x v="1"/>
    <s v="I have a busy schedule, so I need plants that don't require a lot of attention."/>
    <x v="0"/>
    <x v="0"/>
    <s v="pet-safe information"/>
    <s v="ceramic"/>
  </r>
  <r>
    <s v="3uvp16"/>
    <x v="2"/>
    <x v="0"/>
    <x v="0"/>
    <s v="My family's safety comes first, so I make sure the plant won't harm anyone."/>
    <x v="2"/>
    <x v="3"/>
    <s v="light requirements"/>
    <s v="plastic"/>
  </r>
  <r>
    <s v="0fqk85"/>
    <x v="9"/>
    <x v="0"/>
    <x v="0"/>
    <s v="I prefer small plants that won't take up too much space in my apartment."/>
    <x v="3"/>
    <x v="1"/>
    <s v="light requirements"/>
    <s v="hanging baskets"/>
  </r>
  <r>
    <s v="0rwt50"/>
    <x v="14"/>
    <x v="1"/>
    <x v="0"/>
    <s v="I want plants that are easy to transport, so I choose ones that are small and lightweight."/>
    <x v="3"/>
    <x v="1"/>
    <s v="watering frequency &amp; amount"/>
    <s v="wall-mounted planters"/>
  </r>
  <r>
    <s v="2ncw65"/>
    <x v="9"/>
    <x v="0"/>
    <x v="0"/>
    <s v="I always research the plant to make sure it won't pose a risk to my kids or pets."/>
    <x v="2"/>
    <x v="0"/>
    <s v="light requirements"/>
    <s v="hanging baskets"/>
  </r>
  <r>
    <s v="5ars97"/>
    <x v="12"/>
    <x v="0"/>
    <x v="0"/>
    <s v="I don't want to spend too much money, but I also want to make sure my pets are safe, so I choose plants that are affordable and non-toxic to them."/>
    <x v="5"/>
    <x v="3"/>
    <s v="pet-safe information"/>
    <s v="terracotta"/>
  </r>
  <r>
    <s v="7dzh92"/>
    <x v="10"/>
    <x v="1"/>
    <x v="0"/>
    <s v="I want to boost my mood naturally, so I choose plants with bright and cheerful colors."/>
    <x v="1"/>
    <x v="0"/>
    <s v="pet-safe information"/>
    <s v="ceramic"/>
  </r>
  <r>
    <s v="1ifh53"/>
    <x v="5"/>
    <x v="0"/>
    <x v="0"/>
    <s v="I only buy plants that are on sale or discounted."/>
    <x v="5"/>
    <x v="2"/>
    <s v="light requirements"/>
    <s v="hanging baskets"/>
  </r>
  <r>
    <s v="0mku34"/>
    <x v="18"/>
    <x v="2"/>
    <x v="0"/>
    <s v="I have a dog, so I need to be careful about the plants I bring home."/>
    <x v="2"/>
    <x v="0"/>
    <s v="pet-safe information"/>
    <s v="ceramic"/>
  </r>
  <r>
    <s v="6obl36"/>
    <x v="2"/>
    <x v="0"/>
    <x v="0"/>
    <s v="I love using plants in my skincare routine, so I choose ones that have natural beauty benefits."/>
    <x v="1"/>
    <x v="3"/>
    <s v="light requirements"/>
    <s v="hanging baskets"/>
  </r>
  <r>
    <s v="3sgt49"/>
    <x v="6"/>
    <x v="1"/>
    <x v="0"/>
    <s v="I prefer plants that don't require a lot of attention or special soil, so I can enjoy them without worrying too much about their care."/>
    <x v="0"/>
    <x v="0"/>
    <s v="propagation techniques"/>
    <s v="ceramic"/>
  </r>
  <r>
    <s v="9lpc06"/>
    <x v="12"/>
    <x v="0"/>
    <x v="0"/>
    <s v="I don't want to take any risks, so I stick to pet and child-friendly plants."/>
    <x v="2"/>
    <x v="0"/>
    <s v="soil type &amp; fertilization"/>
    <s v="wall-mounted planters"/>
  </r>
  <r>
    <s v="4njv95"/>
    <x v="7"/>
    <x v="0"/>
    <x v="0"/>
    <s v="I want to make sure my cat can't access the plant, but if he does, it won't harm him."/>
    <x v="2"/>
    <x v="0"/>
    <s v="pet-safe information"/>
    <s v="plastic"/>
  </r>
  <r>
    <s v="8eoy94"/>
    <x v="8"/>
    <x v="0"/>
    <x v="0"/>
    <s v="I want to be able to fit a lot of plants in my small apartment, so I choose ones that are compact."/>
    <x v="3"/>
    <x v="2"/>
    <s v="soil type &amp; fertilization"/>
    <s v="hanging baskets"/>
  </r>
  <r>
    <s v="9etx84"/>
    <x v="8"/>
    <x v="0"/>
    <x v="0"/>
    <s v="As a busy person, I need plants that won't require a lot of attention, so I always choose low-maintenance options."/>
    <x v="0"/>
    <x v="0"/>
    <s v="watering frequency &amp; amount"/>
    <s v="ceramic"/>
  </r>
  <r>
    <s v="2bxj58"/>
    <x v="2"/>
    <x v="0"/>
    <x v="0"/>
    <s v="I prefer plants that don't require a lot of water or fertilizer."/>
    <x v="0"/>
    <x v="1"/>
    <s v="watering frequency &amp; amount"/>
    <s v="terracotta"/>
  </r>
  <r>
    <s v="9jsv38"/>
    <x v="5"/>
    <x v="0"/>
    <x v="0"/>
    <s v="I want to improve my digestion, so I choose plants that are known for their digestive benefits, like ginger."/>
    <x v="1"/>
    <x v="3"/>
    <s v="pet-safe information"/>
    <s v="terracotta"/>
  </r>
  <r>
    <s v="5iws21"/>
    <x v="19"/>
    <x v="2"/>
    <x v="0"/>
    <s v="I love discovering rare plants online and having them shipped to me."/>
    <x v="4"/>
    <x v="3"/>
    <s v="pet-safe information"/>
    <s v="terracotta"/>
  </r>
  <r>
    <s v="7hbu73"/>
    <x v="12"/>
    <x v="0"/>
    <x v="0"/>
    <s v="I want to enjoy the beauty of plants without having to spend a lot of time taking care of them."/>
    <x v="0"/>
    <x v="2"/>
    <s v="watering frequency &amp; amount"/>
    <s v="ceramic"/>
  </r>
  <r>
    <s v="4ivf26"/>
    <x v="9"/>
    <x v="0"/>
    <x v="0"/>
    <s v="I love collecting unique plants that are hard to find."/>
    <x v="4"/>
    <x v="3"/>
    <s v="pet-safe information"/>
    <s v="hanging baskets"/>
  </r>
  <r>
    <s v="2fkw26"/>
    <x v="1"/>
    <x v="0"/>
    <x v="0"/>
    <s v="I prefer plants that don't require a lot of attention."/>
    <x v="0"/>
    <x v="0"/>
    <s v="pet-safe information"/>
    <s v="wall-mounted planters"/>
  </r>
  <r>
    <s v="8qku37"/>
    <x v="20"/>
    <x v="1"/>
    <x v="0"/>
    <s v="I have a baby on the way, so I'm extra cautious about the plants I buy."/>
    <x v="2"/>
    <x v="0"/>
    <s v="propagation techniques"/>
    <s v="ceramic"/>
  </r>
  <r>
    <s v="5rme07"/>
    <x v="21"/>
    <x v="2"/>
    <x v="0"/>
    <s v="I don't have a green thumb, so I only buy plants that are both low maintenance and non-toxic to pets."/>
    <x v="0"/>
    <x v="0"/>
    <s v="pet-safe information"/>
    <s v="terracotta"/>
  </r>
  <r>
    <s v="7dci92"/>
    <x v="8"/>
    <x v="0"/>
    <x v="0"/>
    <s v="I like to challenge myself by growing rare species that require special attention."/>
    <x v="4"/>
    <x v="2"/>
    <s v="pet-safe information"/>
    <s v="hanging baskets"/>
  </r>
  <r>
    <s v="0uyn15"/>
    <x v="22"/>
    <x v="2"/>
    <x v="0"/>
    <s v="I always make sure the plant doesn't require too much water because I tend to forget to water them."/>
    <x v="0"/>
    <x v="3"/>
    <s v="watering frequency &amp; amount"/>
    <s v="ceramic"/>
  </r>
  <r>
    <s v="3lth02"/>
    <x v="7"/>
    <x v="0"/>
    <x v="0"/>
    <s v="I want to enjoy my plants without worrying about my toddler getting into them."/>
    <x v="2"/>
    <x v="1"/>
    <s v="watering frequency &amp; amount"/>
    <s v="plastic"/>
  </r>
  <r>
    <s v="4gqa38"/>
    <x v="0"/>
    <x v="0"/>
    <x v="0"/>
    <s v="I love the thrill of the hunt when it comes to finding rare plants to add to my collection."/>
    <x v="4"/>
    <x v="0"/>
    <s v="watering frequency &amp; amount"/>
    <s v="ceramic"/>
  </r>
  <r>
    <s v="5qry47"/>
    <x v="7"/>
    <x v="0"/>
    <x v="0"/>
    <s v="I prefer plants that have unique features, like variegated leaves or unusual growth habits, that are hard to find."/>
    <x v="4"/>
    <x v="0"/>
    <s v="light requirements"/>
    <s v="ceramic"/>
  </r>
  <r>
    <s v="6vuk39"/>
    <x v="12"/>
    <x v="0"/>
    <x v="0"/>
    <s v="I like to challenge myself by growing rare or unique species that require special care."/>
    <x v="4"/>
    <x v="1"/>
    <s v="watering frequency &amp; amount"/>
    <s v="metal"/>
  </r>
  <r>
    <s v="8bho84"/>
    <x v="8"/>
    <x v="0"/>
    <x v="0"/>
    <s v="I prefer plants that are safe for pets and children, even if they're a bit more expensive."/>
    <x v="2"/>
    <x v="1"/>
    <s v="propagation techniques"/>
    <s v="terracotta"/>
  </r>
  <r>
    <s v="5ftv16"/>
    <x v="1"/>
    <x v="0"/>
    <x v="0"/>
    <s v="Finding a plant that's easy to care for and safe for my pets is crucial for me."/>
    <x v="0"/>
    <x v="3"/>
    <s v="pet-safe information"/>
    <s v="terracotta"/>
  </r>
  <r>
    <s v="8txw45"/>
    <x v="2"/>
    <x v="0"/>
    <x v="0"/>
    <s v="I always choose plants that don't require direct sunlight, since I don't have many windows in my apartment."/>
    <x v="0"/>
    <x v="2"/>
    <s v="light requirements"/>
    <s v="terracotta"/>
  </r>
  <r>
    <s v="9vdi90"/>
    <x v="7"/>
    <x v="0"/>
    <x v="0"/>
    <s v="I want to improve my heart health, so I choose plants that are known for their cardiovascular benefits, like garlic."/>
    <x v="1"/>
    <x v="1"/>
    <s v="light requirements"/>
    <s v="terracotta"/>
  </r>
  <r>
    <s v="9iag17"/>
    <x v="8"/>
    <x v="0"/>
    <x v="0"/>
    <s v="I choose plants that have natural anti-aging properties, like pomegranate, for overall health benefits."/>
    <x v="1"/>
    <x v="3"/>
    <s v="pet-safe information"/>
    <s v="wall-mounted planters"/>
  </r>
  <r>
    <s v="7rpw67"/>
    <x v="1"/>
    <x v="0"/>
    <x v="0"/>
    <s v="I always look for plants that are a good value for the price, and won't require a lot of maintenance or care."/>
    <x v="5"/>
    <x v="1"/>
    <s v="pet-safe information"/>
    <s v="hanging baskets"/>
  </r>
  <r>
    <s v="4mte96"/>
    <x v="23"/>
    <x v="1"/>
    <x v="0"/>
    <s v="I prefer plants that have natural healing properties, like aloe vera, for minor cuts and burns."/>
    <x v="1"/>
    <x v="1"/>
    <s v="propagation techniques"/>
    <s v="hanging baskets"/>
  </r>
  <r>
    <s v="6wzx59"/>
    <x v="8"/>
    <x v="0"/>
    <x v="0"/>
    <s v="I don't want to take any chances, so I always choose non-toxic plants."/>
    <x v="2"/>
    <x v="3"/>
    <s v="watering frequency &amp; amount"/>
    <s v="hanging baskets"/>
  </r>
  <r>
    <s v="6rvz13"/>
    <x v="5"/>
    <x v="0"/>
    <x v="0"/>
    <s v="I prefer plants that are compact and won't take up too much space on my balcony or porch."/>
    <x v="3"/>
    <x v="0"/>
    <s v="propagation techniques"/>
    <s v="hanging baskets"/>
  </r>
  <r>
    <s v="6wfq41"/>
    <x v="8"/>
    <x v="0"/>
    <x v="0"/>
    <s v="My dog is like family, so I only buy plants that won't hurt him."/>
    <x v="2"/>
    <x v="2"/>
    <s v="light requirements"/>
    <s v="terracotta"/>
  </r>
  <r>
    <s v="3ctz09"/>
    <x v="9"/>
    <x v="0"/>
    <x v="0"/>
    <s v="I like to show off my rare or unique plants to friends and family."/>
    <x v="4"/>
    <x v="3"/>
    <s v="light requirements"/>
    <s v="metal"/>
  </r>
  <r>
    <s v="4ryz04"/>
    <x v="2"/>
    <x v="0"/>
    <x v="0"/>
    <s v="I have a young child, so I need to be sure the plant is safe for her."/>
    <x v="2"/>
    <x v="1"/>
    <s v="watering frequency &amp; amount"/>
    <s v="hanging baskets"/>
  </r>
  <r>
    <s v="8wyo15"/>
    <x v="0"/>
    <x v="0"/>
    <x v="0"/>
    <s v="I choose plants that have natural anti-inflammatory properties, like turmeric, for overall health benefits."/>
    <x v="1"/>
    <x v="0"/>
    <s v="pet-safe information"/>
    <s v="plastic"/>
  </r>
  <r>
    <s v="0opl53"/>
    <x v="12"/>
    <x v="0"/>
    <x v="0"/>
    <s v="I've had bad experiences with toxic plants in the past, so now I only buy non-toxic options."/>
    <x v="2"/>
    <x v="0"/>
    <s v="pet-safe information"/>
    <s v="terracotta"/>
  </r>
  <r>
    <s v="5lwu76"/>
    <x v="8"/>
    <x v="0"/>
    <x v="0"/>
    <s v="I want to make sure my pets and kids can coexist with my plants safely."/>
    <x v="2"/>
    <x v="0"/>
    <s v="watering frequency &amp; amount"/>
    <s v="plastic"/>
  </r>
  <r>
    <s v="0imd28"/>
    <x v="5"/>
    <x v="0"/>
    <x v="0"/>
    <s v="I always check to see if the plant is safe for my dog before buying it."/>
    <x v="2"/>
    <x v="0"/>
    <s v="watering frequency &amp; amount"/>
    <s v="plastic"/>
  </r>
  <r>
    <s v="0qoh58"/>
    <x v="9"/>
    <x v="0"/>
    <x v="0"/>
    <s v="I want to improve my memory and focus, so I choose plants that are known for their cognitive benefits, like rosemary."/>
    <x v="1"/>
    <x v="0"/>
    <s v="light requirements"/>
    <s v="terracotta"/>
  </r>
  <r>
    <s v="5wzk98"/>
    <x v="2"/>
    <x v="0"/>
    <x v="0"/>
    <s v="As a pet owner, I always prioritize my animal's safety when buying plants."/>
    <x v="2"/>
    <x v="1"/>
    <s v="pet-safe information"/>
    <s v="terracotta"/>
  </r>
  <r>
    <s v="5ozn19"/>
    <x v="0"/>
    <x v="0"/>
    <x v="0"/>
    <s v="I'm always on the lookout for unique or wild plants that will stand out in my collection."/>
    <x v="4"/>
    <x v="0"/>
    <s v="pet-safe information"/>
    <s v="ceramic"/>
  </r>
  <r>
    <s v="7bde57"/>
    <x v="2"/>
    <x v="0"/>
    <x v="0"/>
    <s v="I look for plants that can handle irregular watering because I tend to forget to water them on a regular schedule."/>
    <x v="0"/>
    <x v="3"/>
    <s v="watering frequency &amp; amount"/>
    <s v="hanging baskets"/>
  </r>
  <r>
    <s v="9qir69"/>
    <x v="7"/>
    <x v="0"/>
    <x v="0"/>
    <s v="I always consider the watering requirements before buying a plant because I don't want to be constantly checking on it."/>
    <x v="0"/>
    <x v="0"/>
    <s v="watering frequency &amp; amount"/>
    <s v="hanging baskets"/>
  </r>
  <r>
    <s v="1srh87"/>
    <x v="14"/>
    <x v="1"/>
    <x v="0"/>
    <s v="I prefer plants that are hard to find and have unique characteristics."/>
    <x v="4"/>
    <x v="1"/>
    <s v="propagation techniques"/>
    <s v="ceramic"/>
  </r>
  <r>
    <s v="1yfb60"/>
    <x v="5"/>
    <x v="0"/>
    <x v="0"/>
    <s v="I like to have plants around, but I don't want to spend a lot of time taking care of them."/>
    <x v="0"/>
    <x v="2"/>
    <s v="pet-safe information"/>
    <s v="ceramic"/>
  </r>
  <r>
    <s v="6jbc72"/>
    <x v="23"/>
    <x v="1"/>
    <x v="0"/>
    <s v="I want my plants to be a reflection of my personality, so I choose rare or unique species."/>
    <x v="4"/>
    <x v="3"/>
    <s v="light requirements"/>
    <s v="ceramic"/>
  </r>
  <r>
    <s v="4crh85"/>
    <x v="12"/>
    <x v="0"/>
    <x v="0"/>
    <s v="I want my plants to be a safe addition to my home, so I only choose non-toxic options."/>
    <x v="2"/>
    <x v="4"/>
    <s v="pet-safe information"/>
    <s v="ceramic"/>
  </r>
  <r>
    <s v="8plg04"/>
    <x v="9"/>
    <x v="0"/>
    <x v="0"/>
    <s v="I choose plants that have natural anti-itch properties, like chamomile, for bug bites and rashes."/>
    <x v="1"/>
    <x v="0"/>
    <s v="watering frequency &amp; amount"/>
    <s v="ceramic"/>
  </r>
  <r>
    <s v="8azx61"/>
    <x v="12"/>
    <x v="0"/>
    <x v="0"/>
    <s v="I like plants that can survive in low light conditions, since I don't have many sunny spots in my home."/>
    <x v="0"/>
    <x v="1"/>
    <s v="light requirements"/>
    <s v="ceramic"/>
  </r>
  <r>
    <s v="5vsb16"/>
    <x v="6"/>
    <x v="1"/>
    <x v="0"/>
    <s v="I prefer plants that are not commonly seen in people's homes, and have unique characteristics."/>
    <x v="4"/>
    <x v="3"/>
    <s v="light requirements"/>
    <s v="plastic"/>
  </r>
  <r>
    <s v="2uvs31"/>
    <x v="2"/>
    <x v="0"/>
    <x v="0"/>
    <s v="I only buy plants that are easy to care for."/>
    <x v="0"/>
    <x v="0"/>
    <s v="pet-safe information"/>
    <s v="terracotta"/>
  </r>
  <r>
    <s v="7wbs74"/>
    <x v="10"/>
    <x v="1"/>
    <x v="0"/>
    <s v="I want plants that are easy to propagate, so I can have more of them throughout my home."/>
    <x v="3"/>
    <x v="3"/>
    <s v="pet-safe information"/>
    <s v="terracotta"/>
  </r>
  <r>
    <s v="3hcq23"/>
    <x v="5"/>
    <x v="0"/>
    <x v="0"/>
    <s v="As someone who travels frequently, I need a plant that won't die if I'm away for a few weeks."/>
    <x v="0"/>
    <x v="0"/>
    <s v="watering frequency &amp; amount"/>
    <s v="ceramic"/>
  </r>
  <r>
    <s v="6pyw09"/>
    <x v="5"/>
    <x v="0"/>
    <x v="0"/>
    <s v="I want my plants to be unique and special!"/>
    <x v="4"/>
    <x v="0"/>
    <s v="propagation techniques"/>
    <s v="plastic"/>
  </r>
  <r>
    <s v="3kdc19"/>
    <x v="5"/>
    <x v="0"/>
    <x v="0"/>
    <s v="I love using plants in my cooking, so I choose ones that have unique and interesting flavors, like cilantro."/>
    <x v="1"/>
    <x v="3"/>
    <s v="light requirements"/>
    <s v="ceramic"/>
  </r>
  <r>
    <s v="8yuv87"/>
    <x v="2"/>
    <x v="0"/>
    <x v="0"/>
    <s v="I live in a small apartment with minimal natural light, so I need plants that can thrive in low light."/>
    <x v="0"/>
    <x v="0"/>
    <s v="light requirements"/>
    <s v="ceramic"/>
  </r>
  <r>
    <s v="4qkx79"/>
    <x v="24"/>
    <x v="1"/>
    <x v="0"/>
    <s v="I don't want to worry about my cat getting into the plant and getting sick."/>
    <x v="2"/>
    <x v="3"/>
    <s v="pet-safe information"/>
    <s v="ceramic"/>
  </r>
  <r>
    <s v="6vxd27"/>
    <x v="8"/>
    <x v="0"/>
    <x v="0"/>
    <s v="I have a young child who loves to explore, so I only buy plants that are safe for her."/>
    <x v="2"/>
    <x v="1"/>
    <s v="pet-safe information"/>
    <s v="terracotta"/>
  </r>
  <r>
    <s v="4fnp12"/>
    <x v="12"/>
    <x v="0"/>
    <x v="0"/>
    <s v="I prefer plants that have natural anti-septic properties, like lavender, to keep my home clean and healthy."/>
    <x v="1"/>
    <x v="3"/>
    <s v="light requirements"/>
    <s v="ceramic"/>
  </r>
  <r>
    <s v="2yrx34"/>
    <x v="12"/>
    <x v="0"/>
    <x v="0"/>
    <s v="I want plants that are easy to take care of, so I choose ones that don't grow too big."/>
    <x v="3"/>
    <x v="0"/>
    <s v="light requirements"/>
    <s v="metal"/>
  </r>
  <r>
    <s v="9blg84"/>
    <x v="9"/>
    <x v="0"/>
    <x v="0"/>
    <s v="Low maintenance is key for me when it comes to plants, as I don't have a lot of experience with gardening."/>
    <x v="0"/>
    <x v="3"/>
    <s v="watering frequency &amp; amount"/>
    <s v="hanging baskets"/>
  </r>
  <r>
    <s v="9jtm95"/>
    <x v="12"/>
    <x v="0"/>
    <x v="0"/>
    <s v="Easy light requirements are a top priority for me, since I don't have a lot of sun exposure in my home."/>
    <x v="0"/>
    <x v="1"/>
    <s v="light requirements"/>
    <s v="hanging baskets"/>
  </r>
  <r>
    <s v="4kei43"/>
    <x v="12"/>
    <x v="0"/>
    <x v="0"/>
    <s v="I want to make sure my plants won't harm my dog or any visiting children."/>
    <x v="2"/>
    <x v="1"/>
    <s v="pet-safe information"/>
    <s v="hanging baskets"/>
  </r>
  <r>
    <s v="8mqe29"/>
    <x v="5"/>
    <x v="0"/>
    <x v="0"/>
    <s v="I choose plants that are small enough to fit in my terrariums and planters."/>
    <x v="3"/>
    <x v="0"/>
    <s v="watering frequency &amp; amount"/>
    <s v="ceramic"/>
  </r>
  <r>
    <s v="1irs93"/>
    <x v="1"/>
    <x v="0"/>
    <x v="0"/>
    <s v="I love my pets and want to make sure they're safe around my plants."/>
    <x v="2"/>
    <x v="2"/>
    <s v="pet-safe information"/>
    <s v="ceramic"/>
  </r>
  <r>
    <s v="0swv92"/>
    <x v="1"/>
    <x v="0"/>
    <x v="0"/>
    <s v="I have a curious dog, so I need to be careful about what plants I bring home."/>
    <x v="2"/>
    <x v="3"/>
    <s v="pet-safe information"/>
    <s v="metal"/>
  </r>
  <r>
    <s v="7rwg13"/>
    <x v="2"/>
    <x v="0"/>
    <x v="0"/>
    <s v="I prefer plants that are not commonly found in stores, and have unique features."/>
    <x v="4"/>
    <x v="1"/>
    <s v="watering frequency &amp; amount"/>
    <s v="terracotta"/>
  </r>
  <r>
    <s v="4bhq14"/>
    <x v="0"/>
    <x v="0"/>
    <x v="0"/>
    <s v="I always look for plants that are safe for pets and children before considering any other factors."/>
    <x v="2"/>
    <x v="0"/>
    <s v="soil type &amp; fertilization"/>
    <s v="plastic"/>
  </r>
  <r>
    <s v="3paf51"/>
    <x v="18"/>
    <x v="2"/>
    <x v="0"/>
    <s v="I want to enjoy having plants without the hassle of high maintenance requirements."/>
    <x v="0"/>
    <x v="2"/>
    <s v="pet-safe information"/>
    <s v="plastic"/>
  </r>
  <r>
    <s v="2gbs96"/>
    <x v="1"/>
    <x v="0"/>
    <x v="0"/>
    <s v="I only buy plants that require low light, since I don't get much sun in my apartment."/>
    <x v="0"/>
    <x v="1"/>
    <s v="light requirements"/>
    <s v="ceramic"/>
  </r>
  <r>
    <s v="2pye95"/>
    <x v="7"/>
    <x v="0"/>
    <x v="0"/>
    <s v="I prefer plants that have a story behind them, like rare or unique species that were hard to find."/>
    <x v="4"/>
    <x v="0"/>
    <s v="watering frequency &amp; amount"/>
    <s v="ceramic"/>
  </r>
  <r>
    <s v="6vck21"/>
    <x v="0"/>
    <x v="0"/>
    <x v="0"/>
    <s v="I have a dog, so I always check if the plant is pet-friendly and has air-purifying qualities."/>
    <x v="1"/>
    <x v="0"/>
    <s v="propagation techniques"/>
    <s v="hanging baskets"/>
  </r>
  <r>
    <s v="5xnw05"/>
    <x v="5"/>
    <x v="0"/>
    <x v="0"/>
    <s v="I prefer plants that are small enough to fit on my desk or nightstand."/>
    <x v="3"/>
    <x v="0"/>
    <s v="pet-safe information"/>
    <s v="terracotta"/>
  </r>
  <r>
    <s v="5heo14"/>
    <x v="2"/>
    <x v="0"/>
    <x v="0"/>
    <s v="I don't want to take any risks, so I always err on the side of caution and choose non-toxic plants."/>
    <x v="2"/>
    <x v="3"/>
    <s v="soil type &amp; fertilization"/>
    <s v="hanging baskets"/>
  </r>
  <r>
    <s v="9lgz50"/>
    <x v="1"/>
    <x v="0"/>
    <x v="0"/>
    <s v="I have a baby who's just learning to crawl, so I need to be sure the plant won't harm her."/>
    <x v="2"/>
    <x v="3"/>
    <s v="watering frequency &amp; amount"/>
    <s v="plastic"/>
  </r>
  <r>
    <s v="3egy42"/>
    <x v="7"/>
    <x v="0"/>
    <x v="0"/>
    <s v="I like to buy plants that are big and impressive, so they make a statement in my home."/>
    <x v="3"/>
    <x v="3"/>
    <s v="watering frequency &amp; amount"/>
    <s v="hanging baskets"/>
  </r>
  <r>
    <s v="6ljd91"/>
    <x v="25"/>
    <x v="1"/>
    <x v="0"/>
    <s v="I love adding unique plants to my collection and watching them thrive."/>
    <x v="4"/>
    <x v="1"/>
    <s v="light requirements"/>
    <s v="hanging baskets"/>
  </r>
  <r>
    <s v="5oqu18"/>
    <x v="26"/>
    <x v="2"/>
    <x v="0"/>
    <s v="I prefer plants that don't require a lot of upkeep."/>
    <x v="0"/>
    <x v="0"/>
    <s v="pet-safe information"/>
    <s v="terracotta"/>
  </r>
  <r>
    <s v="2ubi53"/>
    <x v="9"/>
    <x v="0"/>
    <x v="0"/>
    <s v="I always check the watering requirements before buying a plant because I don't want to over or under-water it."/>
    <x v="0"/>
    <x v="1"/>
    <s v="watering frequency &amp; amount"/>
    <s v="ceramic"/>
  </r>
  <r>
    <s v="7ayi89"/>
    <x v="2"/>
    <x v="0"/>
    <x v="0"/>
    <s v="I like to propagate my plants, so I choose ones that are easy to propagate and share with friends."/>
    <x v="0"/>
    <x v="1"/>
    <s v="propagation techniques"/>
    <s v="plastic"/>
  </r>
  <r>
    <s v="7rzi23"/>
    <x v="3"/>
    <x v="1"/>
    <x v="0"/>
    <s v="I want to be able to move my plants around easily, so I choose lightweight options."/>
    <x v="3"/>
    <x v="1"/>
    <s v="watering frequency &amp; amount"/>
    <s v="plastic"/>
  </r>
  <r>
    <s v="6jot49"/>
    <x v="2"/>
    <x v="0"/>
    <x v="0"/>
    <s v="I like to have plants that are the same size and shape, so they look uniform in my space."/>
    <x v="3"/>
    <x v="2"/>
    <s v="watering frequency &amp; amount"/>
    <s v="wall-mounted planters"/>
  </r>
  <r>
    <s v="9rdn59"/>
    <x v="19"/>
    <x v="2"/>
    <x v="0"/>
    <s v="I want to make sure my plants are a safe addition to my home, especially with my pets and young child."/>
    <x v="2"/>
    <x v="3"/>
    <s v="light requirements"/>
    <s v="terracotta"/>
  </r>
  <r>
    <s v="5pqk30"/>
    <x v="15"/>
    <x v="1"/>
    <x v="0"/>
    <s v="I prefer plants that don't require direct sunlight, since I don't have many windows."/>
    <x v="0"/>
    <x v="0"/>
    <s v="light requirements"/>
    <s v="hanging baskets"/>
  </r>
  <r>
    <s v="4wxu90"/>
    <x v="12"/>
    <x v="0"/>
    <x v="0"/>
    <s v="I like to have a lot of plants, so I choose small ones that I can fit on my shelves and tables."/>
    <x v="3"/>
    <x v="3"/>
    <s v="propagation techniques"/>
    <s v="ceramic"/>
  </r>
  <r>
    <s v="5nyu13"/>
    <x v="9"/>
    <x v="0"/>
    <x v="0"/>
    <s v="I'm always on the lookout for rare or unique plants to add to my collection."/>
    <x v="4"/>
    <x v="0"/>
    <s v="light requirements"/>
    <s v="hanging baskets"/>
  </r>
  <r>
    <s v="9ahd63"/>
    <x v="9"/>
    <x v="0"/>
    <x v="0"/>
    <s v="I want to be able to enjoy plants without breaking the bank, so I choose affordable options."/>
    <x v="5"/>
    <x v="0"/>
    <s v="watering frequency &amp; amount"/>
    <s v="ceramic"/>
  </r>
  <r>
    <s v="3vsg91"/>
    <x v="1"/>
    <x v="0"/>
    <x v="0"/>
    <s v="I love having plants around, but I don't want to spend a lot of time taking care of them."/>
    <x v="0"/>
    <x v="4"/>
    <s v="pet-safe information"/>
    <s v="ceramic"/>
  </r>
  <r>
    <s v="8hfm54"/>
    <x v="12"/>
    <x v="0"/>
    <x v="0"/>
    <s v="I want to improve my vision, so I choose plants that are known for their eye health benefits, like carrots."/>
    <x v="1"/>
    <x v="3"/>
    <s v="pet-safe information"/>
    <s v="terracotta"/>
  </r>
  <r>
    <s v="7vqo36"/>
    <x v="7"/>
    <x v="0"/>
    <x v="0"/>
    <s v="I'm not great at remembering to water plants, so low maintenance options are a must for me."/>
    <x v="0"/>
    <x v="0"/>
    <s v="light requirements"/>
    <s v="hanging baskets"/>
  </r>
  <r>
    <s v="4tdl72"/>
    <x v="25"/>
    <x v="1"/>
    <x v="0"/>
    <s v="I only buy plants that I know are safe for my pets and children."/>
    <x v="2"/>
    <x v="4"/>
    <s v="pet-safe information"/>
    <s v="hanging baskets"/>
  </r>
  <r>
    <s v="4zoc52"/>
    <x v="2"/>
    <x v="0"/>
    <x v="0"/>
    <s v="I travel frequently, so I need plants that can survive with minimal care."/>
    <x v="0"/>
    <x v="0"/>
    <s v="light requirements"/>
    <s v="terracotta"/>
  </r>
  <r>
    <s v="8ybz01"/>
    <x v="8"/>
    <x v="0"/>
    <x v="0"/>
    <s v="I want each and every plant I buy to be a unique expression of my style."/>
    <x v="4"/>
    <x v="0"/>
    <s v="soil type &amp; fertilization"/>
    <s v="terracotta"/>
  </r>
  <r>
    <s v="9doa71"/>
    <x v="5"/>
    <x v="0"/>
    <x v="0"/>
    <s v="I have a cat who likes to nibble on plants, so I need to be sure they won't harm her."/>
    <x v="2"/>
    <x v="0"/>
    <s v="pet-safe information"/>
    <s v="hanging baskets"/>
  </r>
  <r>
    <s v="9mfe35"/>
    <x v="8"/>
    <x v="0"/>
    <x v="0"/>
    <s v="I want to make sure my plants are a safe addition to my home, especially with my young children."/>
    <x v="2"/>
    <x v="1"/>
    <s v="light requirements"/>
    <s v="hanging baskets"/>
  </r>
  <r>
    <s v="8ufi74"/>
    <x v="27"/>
    <x v="1"/>
    <x v="0"/>
    <s v="I always check the labels to see if the plant is safe for pets and children before buying it."/>
    <x v="2"/>
    <x v="3"/>
    <s v="pet-safe information"/>
    <s v="ceramic"/>
  </r>
  <r>
    <s v="9zjt50"/>
    <x v="8"/>
    <x v="0"/>
    <x v="0"/>
    <s v="I have a dog who loves to chew on things, so I need to be sure the plant won't harm him."/>
    <x v="2"/>
    <x v="3"/>
    <s v="soil type &amp; fertilization"/>
    <s v="hanging baskets"/>
  </r>
  <r>
    <s v="8rna32"/>
    <x v="8"/>
    <x v="0"/>
    <x v="0"/>
    <s v="I want to enjoy having plants in my home, but I don't want them to be too much work or pose a risk to my pets."/>
    <x v="0"/>
    <x v="3"/>
    <s v="pet-safe information"/>
    <s v="terracotta"/>
  </r>
  <r>
    <s v="8csf73"/>
    <x v="9"/>
    <x v="0"/>
    <x v="0"/>
    <s v="I love plants that have natural energy-boosting properties, like ginseng, to help me power through the day."/>
    <x v="1"/>
    <x v="0"/>
    <s v="watering frequency &amp; amount"/>
    <s v="terracotta"/>
  </r>
  <r>
    <s v="3rgl01"/>
    <x v="5"/>
    <x v="0"/>
    <x v="0"/>
    <s v="I want to make sure my plants are non-toxic for both my pets and children."/>
    <x v="2"/>
    <x v="0"/>
    <s v="light requirements"/>
    <s v="ceramic"/>
  </r>
  <r>
    <s v="8lgq98"/>
    <x v="12"/>
    <x v="0"/>
    <x v="0"/>
    <s v="I want to incorporate plants into my decor, but I need options that are low maintenance and easy to care for."/>
    <x v="0"/>
    <x v="1"/>
    <s v="light requirements"/>
    <s v="ceramic"/>
  </r>
  <r>
    <s v="7jng79"/>
    <x v="28"/>
    <x v="1"/>
    <x v="0"/>
    <s v="I have a toddler who likes to put things in her mouth, so I need to be sure the plant won't harm her."/>
    <x v="2"/>
    <x v="1"/>
    <s v="pet-safe information"/>
    <s v="terracotta"/>
  </r>
  <r>
    <s v="9bxk79"/>
    <x v="5"/>
    <x v="0"/>
    <x v="0"/>
    <s v="I love using plants in my home decor, so I choose ones that have unique and interesting shapes and textures."/>
    <x v="1"/>
    <x v="0"/>
    <s v="light requirements"/>
    <s v="plastic"/>
  </r>
  <r>
    <s v="0cef62"/>
    <x v="8"/>
    <x v="0"/>
    <x v="0"/>
    <s v="I prefer plants that are small and easy to move around, so I can change up my decor often."/>
    <x v="3"/>
    <x v="0"/>
    <s v="pet-safe information"/>
    <s v="terracotta"/>
  </r>
  <r>
    <s v="3xic78"/>
    <x v="1"/>
    <x v="0"/>
    <x v="0"/>
    <s v="I don't have the space for a big garden, so I choose plants that can be grown in containers and don't require a lot of soil."/>
    <x v="0"/>
    <x v="0"/>
    <s v="soil type &amp; fertilization"/>
    <s v="terracotta"/>
  </r>
  <r>
    <s v="1pgo30"/>
    <x v="9"/>
    <x v="0"/>
    <x v="0"/>
    <s v="I prefer plants that have natural anti-allergy properties, like nettle, to reduce my allergy symptoms."/>
    <x v="1"/>
    <x v="1"/>
    <s v="light requirements"/>
    <s v="ceramic"/>
  </r>
  <r>
    <s v="8aqo87"/>
    <x v="9"/>
    <x v="0"/>
    <x v="0"/>
    <s v="I choose plants that have natural anti-cancer properties, like broccoli, for overall health benefits."/>
    <x v="1"/>
    <x v="3"/>
    <s v="watering frequency &amp; amount"/>
    <s v="plastic"/>
  </r>
  <r>
    <s v="8jqu60"/>
    <x v="0"/>
    <x v="0"/>
    <x v="0"/>
    <s v="I love my pets and want to make sure they're safe around my plants, so I only buy pet-friendly options."/>
    <x v="2"/>
    <x v="1"/>
    <s v="light requirements"/>
    <s v="plastic"/>
  </r>
  <r>
    <s v="2nyj69"/>
    <x v="5"/>
    <x v="0"/>
    <x v="0"/>
    <s v="I always check to see if the plant is safe for my cat before buying it."/>
    <x v="2"/>
    <x v="1"/>
    <s v="watering frequency &amp; amount"/>
    <s v="terracotta"/>
  </r>
  <r>
    <s v="7crj71"/>
    <x v="9"/>
    <x v="0"/>
    <x v="0"/>
    <s v="I choose plants that have natural anti-fungal properties, like tea tree oil, to keep my home and body healthy."/>
    <x v="1"/>
    <x v="1"/>
    <s v="light requirements"/>
    <s v="ceramic"/>
  </r>
  <r>
    <s v="0cjl69"/>
    <x v="0"/>
    <x v="0"/>
    <x v="0"/>
    <s v="I choose plants that have natural anti-inflammatory properties, like green tea, for overall health benefits."/>
    <x v="1"/>
    <x v="1"/>
    <s v="light requirements"/>
    <s v="terracotta"/>
  </r>
  <r>
    <s v="4tku58"/>
    <x v="2"/>
    <x v="0"/>
    <x v="0"/>
    <s v="I want to make sure my plants are a safe addition to my home, especially with my cat and young child."/>
    <x v="2"/>
    <x v="1"/>
    <s v="watering frequency &amp; amount"/>
    <s v="ceramic"/>
  </r>
  <r>
    <s v="6evw84"/>
    <x v="0"/>
    <x v="0"/>
    <x v="0"/>
    <s v="I choose plants that are small and easy to propagate, so I can have more of them throughout my home."/>
    <x v="3"/>
    <x v="0"/>
    <s v="watering frequency &amp; amount"/>
    <s v="terracotta"/>
  </r>
  <r>
    <s v="6tak43"/>
    <x v="19"/>
    <x v="2"/>
    <x v="0"/>
    <s v="I want to improve my mental health, so I choose plants that are known to reduce anxiety and stress."/>
    <x v="1"/>
    <x v="0"/>
    <s v="watering frequency &amp; amount"/>
    <s v="terracotta"/>
  </r>
  <r>
    <s v="1hxu32"/>
    <x v="7"/>
    <x v="0"/>
    <x v="0"/>
    <s v="I only buy plants that won't pose a risk to my pets or children."/>
    <x v="2"/>
    <x v="3"/>
    <s v="propagation techniques"/>
    <s v="ceramic"/>
  </r>
  <r>
    <s v="6ern84"/>
    <x v="8"/>
    <x v="0"/>
    <x v="0"/>
    <s v="I have a young child who loves to explore, so I need to be sure the plant won't harm her if she touches it."/>
    <x v="2"/>
    <x v="0"/>
    <s v="propagation techniques"/>
    <s v="ceramic"/>
  </r>
  <r>
    <s v="6yhj02"/>
    <x v="0"/>
    <x v="0"/>
    <x v="0"/>
    <s v="I'm always searching for rare plants to add to my indoor jungle."/>
    <x v="4"/>
    <x v="1"/>
    <s v="pet-safe information"/>
    <s v="terracotta"/>
  </r>
  <r>
    <s v="0iwx94"/>
    <x v="1"/>
    <x v="0"/>
    <x v="0"/>
    <s v="I love to cook with fresh herbs, so I choose plants that are known for their culinary benefits."/>
    <x v="1"/>
    <x v="0"/>
    <s v="soil type &amp; fertilization"/>
    <s v="ceramic"/>
  </r>
  <r>
    <s v="7esk95"/>
    <x v="0"/>
    <x v="0"/>
    <x v="0"/>
    <s v="I want to improve my respiratory health, so I choose plants that are known for their respiratory benefits, like eucalyptus."/>
    <x v="1"/>
    <x v="4"/>
    <s v="pet-safe information"/>
    <s v="ceramic"/>
  </r>
  <r>
    <s v="8soq83"/>
    <x v="2"/>
    <x v="0"/>
    <x v="0"/>
    <s v="I want to make sure my plants are non-toxic for my pets and children, even if it means spending a bit more."/>
    <x v="2"/>
    <x v="3"/>
    <s v="pet-safe information"/>
    <s v="plastic"/>
  </r>
  <r>
    <s v="5xoj50"/>
    <x v="1"/>
    <x v="0"/>
    <x v="0"/>
    <s v="I always look for affordable plants that won't break the bank."/>
    <x v="5"/>
    <x v="1"/>
    <s v="pet-safe information"/>
    <s v="terracotta"/>
  </r>
  <r>
    <s v="8hxs71"/>
    <x v="7"/>
    <x v="0"/>
    <x v="0"/>
    <s v="I want plants that are easy to take care of, so I choose small ones that won't require a lot of space or attention."/>
    <x v="3"/>
    <x v="0"/>
    <s v="watering frequency &amp; amount"/>
    <s v="plastic"/>
  </r>
  <r>
    <s v="0ztb09"/>
    <x v="25"/>
    <x v="1"/>
    <x v="0"/>
    <s v="Easy light requirements are a must for me, since I don't have a lot of natural light in my apartment."/>
    <x v="0"/>
    <x v="1"/>
    <s v="light requirements"/>
    <s v="hanging baskets"/>
  </r>
  <r>
    <s v="9zcy62"/>
    <x v="2"/>
    <x v="0"/>
    <x v="0"/>
    <s v="I prefer plants that have natural anti-depressant properties, like St. John's Wort, to improve my mood."/>
    <x v="1"/>
    <x v="1"/>
    <s v="propagation techniques"/>
    <s v="ceramic"/>
  </r>
  <r>
    <s v="3aeu18"/>
    <x v="23"/>
    <x v="1"/>
    <x v="0"/>
    <s v="I prefer plants that are affordable and won't require a lot of special knowledge or expertise to care for."/>
    <x v="5"/>
    <x v="1"/>
    <s v="watering frequency &amp; amount"/>
    <s v="plastic"/>
  </r>
  <r>
    <s v="2fxu15"/>
    <x v="1"/>
    <x v="0"/>
    <x v="0"/>
    <s v="I always research the plant to make sure it's safe for my pets and children before buying it."/>
    <x v="2"/>
    <x v="1"/>
    <s v="watering frequency &amp; amount"/>
    <s v="terracotta"/>
  </r>
  <r>
    <s v="4blm50"/>
    <x v="8"/>
    <x v="0"/>
    <x v="0"/>
    <s v="I always look for rare or unique species that will make a statement in my home."/>
    <x v="4"/>
    <x v="0"/>
    <s v="soil type &amp; fertilization"/>
    <s v="ceramic"/>
  </r>
  <r>
    <s v="4syk05"/>
    <x v="7"/>
    <x v="0"/>
    <x v="0"/>
    <s v="I like to have a mix of small and large plants, so my home feels balanced."/>
    <x v="3"/>
    <x v="0"/>
    <s v="watering frequency &amp; amount"/>
    <s v="wall-mounted planters"/>
  </r>
  <r>
    <s v="8tjs06"/>
    <x v="2"/>
    <x v="0"/>
    <x v="0"/>
    <s v="I want my plants to be conversation starters, so I choose funky, rare plants."/>
    <x v="4"/>
    <x v="0"/>
    <s v="light requirements"/>
    <s v="hanging baskets"/>
  </r>
  <r>
    <s v="8jmy10"/>
    <x v="27"/>
    <x v="1"/>
    <x v="0"/>
    <s v="I like to have greenery in my home, but I don't want to spend a lot of time tending to them."/>
    <x v="0"/>
    <x v="0"/>
    <s v="pet-safe information"/>
    <s v="plastic"/>
  </r>
  <r>
    <s v="9nsl50"/>
    <x v="8"/>
    <x v="0"/>
    <x v="0"/>
    <s v="I love using plants in my hair care routine, so I choose ones that have natural beauty benefits, like aloe vera."/>
    <x v="1"/>
    <x v="0"/>
    <s v="propagation techniques"/>
    <s v="hanging baskets"/>
  </r>
  <r>
    <s v="9bkf02"/>
    <x v="7"/>
    <x v="0"/>
    <x v="0"/>
    <s v="I have a bird, so I need to be careful about the plants I bring into my home."/>
    <x v="2"/>
    <x v="1"/>
    <s v="pet-safe information"/>
    <s v="terracotta"/>
  </r>
  <r>
    <s v="8czm97"/>
    <x v="4"/>
    <x v="1"/>
    <x v="0"/>
    <s v="I want to make sure my plants won't harm my pets or children, so I only choose non-toxic options."/>
    <x v="2"/>
    <x v="3"/>
    <s v="soil type &amp; fertilization"/>
    <s v="hanging baskets"/>
  </r>
  <r>
    <s v="9tfz85"/>
    <x v="1"/>
    <x v="0"/>
    <x v="0"/>
    <s v="I don't have a lot of time for plant care, so I always look for low-maintenance options."/>
    <x v="0"/>
    <x v="2"/>
    <s v="pet-safe information"/>
    <s v="ceramic"/>
  </r>
  <r>
    <s v="8lsi58"/>
    <x v="10"/>
    <x v="1"/>
    <x v="0"/>
    <s v="I want to improve my sleep quality, so I choose plants that are known for their calming effects."/>
    <x v="1"/>
    <x v="1"/>
    <s v="pet-safe information"/>
    <s v="metal"/>
  </r>
  <r>
    <s v="4xlp73"/>
    <x v="9"/>
    <x v="0"/>
    <x v="0"/>
    <s v="I love finding rare or unique plants at local nurseries and plant shops."/>
    <x v="4"/>
    <x v="3"/>
    <s v="soil type &amp; fertilization"/>
    <s v="terracotta"/>
  </r>
  <r>
    <s v="2hbc76"/>
    <x v="7"/>
    <x v="0"/>
    <x v="0"/>
    <s v="I want to enjoy my plants without the stress of complex care requirements."/>
    <x v="0"/>
    <x v="0"/>
    <s v="pet-safe information"/>
    <s v="ceramic"/>
  </r>
  <r>
    <s v="3zhy98"/>
    <x v="9"/>
    <x v="0"/>
    <x v="0"/>
    <s v="As a pet owner, I want to make sure my furry friend can coexist safely with my plants, so I always choose pet-friendly options."/>
    <x v="2"/>
    <x v="2"/>
    <s v="pet-safe information"/>
    <s v="plastic"/>
  </r>
  <r>
    <s v="4lqc31"/>
    <x v="9"/>
    <x v="0"/>
    <x v="0"/>
    <s v="Since I don't have a lot of natural light, I always look for plants that can thrive in low light conditions."/>
    <x v="0"/>
    <x v="1"/>
    <s v="light requirements"/>
    <s v="hanging baskets"/>
  </r>
  <r>
    <s v="9dpm21"/>
    <x v="5"/>
    <x v="0"/>
    <x v="0"/>
    <s v="My toddler is always exploring, so I only buy plants that won't harm her if she touches them."/>
    <x v="2"/>
    <x v="2"/>
    <s v="pet-safe information"/>
    <s v="plastic"/>
  </r>
  <r>
    <s v="7jlq16"/>
    <x v="9"/>
    <x v="0"/>
    <x v="0"/>
    <s v="I want to enjoy the benefits of plants without the hassle of high maintenance care."/>
    <x v="0"/>
    <x v="0"/>
    <s v="light requirements"/>
    <s v="plastic"/>
  </r>
  <r>
    <s v="5anx81"/>
    <x v="18"/>
    <x v="2"/>
    <x v="0"/>
    <s v="I choose plants that are tall and add height to my room."/>
    <x v="3"/>
    <x v="2"/>
    <s v="watering frequency &amp; amount"/>
    <s v="plastic"/>
  </r>
  <r>
    <s v="2qfj74"/>
    <x v="7"/>
    <x v="0"/>
    <x v="0"/>
    <s v="I don't want to take any chances, so I only buy plants that are safe for both my cat and my children."/>
    <x v="2"/>
    <x v="0"/>
    <s v="watering frequency &amp; amount"/>
    <s v="ceram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17ABB9-F108-4C44-9818-CD9F6EDDF8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4:F97" firstHeaderRow="1" firstDataRow="1" firstDataCol="1"/>
  <pivotFields count="9">
    <pivotField showAll="0"/>
    <pivotField showAll="0"/>
    <pivotField showAll="0"/>
    <pivotField showAll="0"/>
    <pivotField showAll="0"/>
    <pivotField axis="axisRow" showAll="0" sortType="descending">
      <items count="9">
        <item x="1"/>
        <item x="0"/>
        <item x="2"/>
        <item x="5"/>
        <item x="4"/>
        <item x="3"/>
        <item m="1" x="6"/>
        <item m="1" x="7"/>
        <item t="default"/>
      </items>
      <autoSortScope>
        <pivotArea dataOnly="0" outline="0" fieldPosition="0">
          <references count="1">
            <reference field="4294967294" count="1" selected="0">
              <x v="0"/>
            </reference>
          </references>
        </pivotArea>
      </autoSortScope>
    </pivotField>
    <pivotField axis="axisRow" dataField="1" showAll="0">
      <items count="6">
        <item x="0"/>
        <item x="1"/>
        <item x="4"/>
        <item x="3"/>
        <item x="2"/>
        <item t="default"/>
      </items>
    </pivotField>
    <pivotField showAll="0"/>
    <pivotField showAll="0"/>
  </pivotFields>
  <rowFields count="2">
    <field x="6"/>
    <field x="5"/>
  </rowFields>
  <rowItems count="33">
    <i>
      <x/>
    </i>
    <i r="1">
      <x v="1"/>
    </i>
    <i r="1">
      <x v="2"/>
    </i>
    <i r="1">
      <x/>
    </i>
    <i r="1">
      <x v="4"/>
    </i>
    <i r="1">
      <x v="5"/>
    </i>
    <i r="1">
      <x v="3"/>
    </i>
    <i>
      <x v="1"/>
    </i>
    <i r="1">
      <x v="2"/>
    </i>
    <i r="1">
      <x v="1"/>
    </i>
    <i r="1">
      <x/>
    </i>
    <i r="1">
      <x v="4"/>
    </i>
    <i r="1">
      <x v="5"/>
    </i>
    <i r="1">
      <x v="3"/>
    </i>
    <i>
      <x v="2"/>
    </i>
    <i r="1">
      <x v="2"/>
    </i>
    <i r="1">
      <x/>
    </i>
    <i r="1">
      <x v="1"/>
    </i>
    <i>
      <x v="3"/>
    </i>
    <i r="1">
      <x v="2"/>
    </i>
    <i r="1">
      <x v="1"/>
    </i>
    <i r="1">
      <x/>
    </i>
    <i r="1">
      <x v="4"/>
    </i>
    <i r="1">
      <x v="5"/>
    </i>
    <i r="1">
      <x v="3"/>
    </i>
    <i>
      <x v="4"/>
    </i>
    <i r="1">
      <x v="1"/>
    </i>
    <i r="1">
      <x v="5"/>
    </i>
    <i r="1">
      <x v="2"/>
    </i>
    <i r="1">
      <x v="4"/>
    </i>
    <i r="1">
      <x/>
    </i>
    <i r="1">
      <x v="3"/>
    </i>
    <i t="grand">
      <x/>
    </i>
  </rowItems>
  <colItems count="1">
    <i/>
  </colItems>
  <dataFields count="1">
    <dataField name="Count of freq" fld="6" subtotal="count" baseField="6"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0FCAA5-1B34-4E7D-BFC0-11EDFF1D6F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2:G39" firstHeaderRow="0" firstDataRow="1" firstDataCol="1"/>
  <pivotFields count="9">
    <pivotField showAll="0"/>
    <pivotField showAll="0"/>
    <pivotField showAll="0"/>
    <pivotField showAll="0"/>
    <pivotField showAll="0"/>
    <pivotField axis="axisRow" dataField="1" showAll="0" sortType="descending">
      <items count="9">
        <item m="1" x="7"/>
        <item x="1"/>
        <item x="2"/>
        <item x="0"/>
        <item x="3"/>
        <item x="4"/>
        <item x="5"/>
        <item m="1" x="6"/>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5"/>
  </rowFields>
  <rowItems count="7">
    <i>
      <x v="3"/>
    </i>
    <i>
      <x v="2"/>
    </i>
    <i>
      <x v="1"/>
    </i>
    <i>
      <x v="5"/>
    </i>
    <i>
      <x v="4"/>
    </i>
    <i>
      <x v="6"/>
    </i>
    <i t="grand">
      <x/>
    </i>
  </rowItems>
  <colFields count="1">
    <field x="-2"/>
  </colFields>
  <colItems count="2">
    <i>
      <x/>
    </i>
    <i i="1">
      <x v="1"/>
    </i>
  </colItems>
  <dataFields count="2">
    <dataField name="Count of reason_for_purchase" fld="5" subtotal="count" baseField="0" baseItem="0"/>
    <dataField name="Percentage of responses" fld="5" subtotal="count" showDataAs="percentOfCol" baseField="5" baseItem="3"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470FDD-DC77-41F4-AE25-127560E0CA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G24" firstHeaderRow="0" firstDataRow="1" firstDataCol="1"/>
  <pivotFields count="9">
    <pivotField showAll="0"/>
    <pivotField showAll="0"/>
    <pivotField axis="axisRow" dataField="1" showAll="0">
      <items count="4">
        <item x="2"/>
        <item x="0"/>
        <item x="1"/>
        <item t="default"/>
      </items>
    </pivotField>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Count of maintenance" fld="2" subtotal="count" baseField="2" baseItem="1"/>
    <dataField name="Count of maintenance2" fld="2" subtotal="count" showDataAs="percentOfCo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E37DE4-06FA-448F-BA07-71D52B5137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F29" firstHeaderRow="1" firstDataRow="1" firstDataCol="1"/>
  <pivotFields count="9">
    <pivotField showAll="0"/>
    <pivotField showAll="0"/>
    <pivotField showAll="0"/>
    <pivotField axis="axisRow" dataField="1" showAll="0">
      <items count="3">
        <item x="0"/>
        <item x="1"/>
        <item t="default"/>
      </items>
    </pivotField>
    <pivotField showAll="0"/>
    <pivotField showAll="0"/>
    <pivotField showAll="0"/>
    <pivotField showAll="0"/>
    <pivotField showAll="0"/>
  </pivotFields>
  <rowFields count="1">
    <field x="3"/>
  </rowFields>
  <rowItems count="3">
    <i>
      <x/>
    </i>
    <i>
      <x v="1"/>
    </i>
    <i t="grand">
      <x/>
    </i>
  </rowItems>
  <colItems count="1">
    <i/>
  </colItems>
  <dataFields count="1">
    <dataField name="Count of safe-for-pets" fld="3" subtotal="count" showDataAs="percentOfCo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4208EA-4F85-4924-8CB7-592A351B8C5D}" name="plant_info" displayName="plant_info" ref="A1:E47" totalsRowShown="0" headerRowCellStyle="Normal" dataCellStyle="Normal">
  <autoFilter ref="A1:E47" xr:uid="{00000000-0009-0000-0100-000002000000}"/>
  <tableColumns count="5">
    <tableColumn id="1" xr3:uid="{76F5533C-D6CC-441F-B3FF-74E22B35C6A0}" name="plant" dataCellStyle="Normal"/>
    <tableColumn id="2" xr3:uid="{1DC03E39-AC07-4449-8140-89C005AC9340}" name="light-requirements" dataCellStyle="Normal"/>
    <tableColumn id="3" xr3:uid="{71F17904-7251-4A03-A303-6E3D3FF379A7}" name="water-requirements" dataCellStyle="Normal"/>
    <tableColumn id="5" xr3:uid="{4F1187AF-F181-4ACD-A804-07677C66CEB3}" name="maintenance-requirements" dataCellStyle="Normal"/>
    <tableColumn id="4" xr3:uid="{4C530B5A-EBDB-4BAF-89B4-6426615EADDE}" name="toxic" dataCellStyle="Normal"/>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D8364C-AB7A-413E-A00B-A0C7D85886AE}" name="reason" displayName="reason" ref="A1:C219" totalsRowShown="0" headerRowCellStyle="Normal" dataCellStyle="Normal">
  <autoFilter ref="A1:C219" xr:uid="{00000000-0009-0000-0100-000006000000}"/>
  <tableColumns count="3">
    <tableColumn id="1" xr3:uid="{F421FEB1-5DA1-46FB-B668-AE876E413734}" name="survey_id" dataCellStyle="Normal"/>
    <tableColumn id="2" xr3:uid="{9E4DA556-89F7-4B9A-9CD5-3A538B8B411E}" name="reason_for_purchase_free_response" dataCellStyle="Normal"/>
    <tableColumn id="3" xr3:uid="{7C21237E-1289-4B0B-B671-593A95140777}" name="reason_for_purchase" dataCellStyle="Normal"/>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2EF6DB-E59C-40DC-9724-644900D56F63}" name="responses" displayName="responses" ref="J1:R218" totalsRowShown="0" headerRowCellStyle="Normal" dataCellStyle="Normal">
  <autoFilter ref="J1:R218" xr:uid="{A92EF6DB-E59C-40DC-9724-644900D56F63}"/>
  <tableColumns count="9">
    <tableColumn id="1" xr3:uid="{4548914F-D5BC-4624-93A9-646C87564EEE}" name="survey_id" dataCellStyle="Normal"/>
    <tableColumn id="9" xr3:uid="{D32FDD20-655D-468E-958E-2ABDBBB968F9}" name="plant_types"/>
    <tableColumn id="7" xr3:uid="{6C9C4BDE-2A1A-4A73-BD54-67CEA19376CB}" name="maintenance" dataDxfId="3" dataCellStyle="Normal">
      <calculatedColumnFormula>_xlfn.XLOOKUP(K2, plant_info[plant], plant_info[maintenance-requirements])</calculatedColumnFormula>
    </tableColumn>
    <tableColumn id="8" xr3:uid="{1DDD7D92-1DB4-4348-85A3-8BADC93C77D9}" name="safe-for-pets" dataDxfId="2" dataCellStyle="Normal">
      <calculatedColumnFormula>_xlfn.XLOOKUP(responses[[#This Row],[plant_types]], plant_info[plant], plant_info[toxic])</calculatedColumnFormula>
    </tableColumn>
    <tableColumn id="2" xr3:uid="{FFB5858C-1EF3-410F-946E-57D8AAE5D714}" name="reason_for_purchase_free_response" dataCellStyle="Normal"/>
    <tableColumn id="3" xr3:uid="{48942F5D-16F8-4CFE-91FD-58E458D829A7}" name="reason_for_purchase" dataDxfId="1" dataCellStyle="Normal">
      <calculatedColumnFormula>_xlfn.XLOOKUP(J2, reason[survey_id], reason[reason_for_purchase])</calculatedColumnFormula>
    </tableColumn>
    <tableColumn id="4" xr3:uid="{D563E91E-37EE-4BD2-949F-407FB635EB60}" name="freq" dataCellStyle="Normal"/>
    <tableColumn id="5" xr3:uid="{0A2A844C-97D6-44E9-8581-DC799E73C518}" name="care_info" dataCellStyle="Normal"/>
    <tableColumn id="6" xr3:uid="{BFE150C1-A796-4CA6-A3CD-6F1ED860F5F8}" name="pots" dataCellStyle="Norma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3.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6D94-F640-48F5-9FAD-557A468A9603}">
  <dimension ref="A1:D33"/>
  <sheetViews>
    <sheetView zoomScale="72" workbookViewId="0">
      <selection activeCell="A22" sqref="A22"/>
    </sheetView>
  </sheetViews>
  <sheetFormatPr defaultColWidth="10.69921875" defaultRowHeight="15.6" x14ac:dyDescent="0.3"/>
  <cols>
    <col min="1" max="1" width="32.796875" customWidth="1"/>
    <col min="2" max="2" width="69.5" customWidth="1"/>
    <col min="3" max="3" width="17.296875" customWidth="1"/>
  </cols>
  <sheetData>
    <row r="1" spans="1:4" ht="16.2" thickBot="1" x14ac:dyDescent="0.35">
      <c r="A1" s="1" t="s">
        <v>0</v>
      </c>
      <c r="B1" s="2"/>
      <c r="C1" s="2"/>
      <c r="D1" s="2"/>
    </row>
    <row r="2" spans="1:4" ht="16.2" thickBot="1" x14ac:dyDescent="0.35">
      <c r="A2" s="2"/>
      <c r="B2" s="2"/>
      <c r="C2" s="2"/>
      <c r="D2" s="2"/>
    </row>
    <row r="3" spans="1:4" ht="16.2" thickBot="1" x14ac:dyDescent="0.35">
      <c r="A3" s="2"/>
      <c r="B3" s="2"/>
      <c r="C3" s="2"/>
      <c r="D3" s="2"/>
    </row>
    <row r="4" spans="1:4" ht="23.4" x14ac:dyDescent="0.3">
      <c r="A4" s="3" t="s">
        <v>1</v>
      </c>
      <c r="B4" s="3"/>
      <c r="C4" s="3"/>
      <c r="D4" s="3"/>
    </row>
    <row r="5" spans="1:4" x14ac:dyDescent="0.3">
      <c r="A5" s="4" t="s">
        <v>2</v>
      </c>
      <c r="B5" s="5" t="s">
        <v>3</v>
      </c>
      <c r="C5" s="5"/>
      <c r="D5" s="5"/>
    </row>
    <row r="6" spans="1:4" ht="16.95" customHeight="1" x14ac:dyDescent="0.3">
      <c r="A6" s="6" t="s">
        <v>4</v>
      </c>
      <c r="B6" s="7" t="s">
        <v>5</v>
      </c>
      <c r="C6" s="7"/>
      <c r="D6" s="7"/>
    </row>
    <row r="7" spans="1:4" ht="22.95" customHeight="1" x14ac:dyDescent="0.3">
      <c r="A7" s="8" t="s">
        <v>6</v>
      </c>
      <c r="B7" s="9" t="s">
        <v>7</v>
      </c>
      <c r="C7" s="9"/>
      <c r="D7" s="9"/>
    </row>
    <row r="8" spans="1:4" ht="22.95" customHeight="1" x14ac:dyDescent="0.3">
      <c r="A8" s="10" t="s">
        <v>8</v>
      </c>
      <c r="B8" s="11" t="s">
        <v>9</v>
      </c>
      <c r="C8" s="11"/>
      <c r="D8" s="11"/>
    </row>
    <row r="9" spans="1:4" x14ac:dyDescent="0.3">
      <c r="A9" s="10"/>
      <c r="B9" s="11"/>
      <c r="C9" s="11"/>
      <c r="D9" s="11"/>
    </row>
    <row r="10" spans="1:4" ht="16.95" customHeight="1" x14ac:dyDescent="0.3">
      <c r="A10" s="12" t="s">
        <v>10</v>
      </c>
      <c r="B10" s="9" t="s">
        <v>11</v>
      </c>
      <c r="C10" s="9"/>
      <c r="D10" s="9"/>
    </row>
    <row r="11" spans="1:4" x14ac:dyDescent="0.3">
      <c r="A11" s="12"/>
      <c r="B11" s="9"/>
      <c r="C11" s="9"/>
      <c r="D11" s="9"/>
    </row>
    <row r="12" spans="1:4" ht="16.05" customHeight="1" x14ac:dyDescent="0.3">
      <c r="A12" s="10" t="s">
        <v>12</v>
      </c>
      <c r="B12" s="11" t="s">
        <v>13</v>
      </c>
      <c r="C12" s="11"/>
      <c r="D12" s="11"/>
    </row>
    <row r="13" spans="1:4" x14ac:dyDescent="0.3">
      <c r="A13" s="10"/>
      <c r="B13" s="11"/>
      <c r="C13" s="11"/>
      <c r="D13" s="11"/>
    </row>
    <row r="14" spans="1:4" x14ac:dyDescent="0.3">
      <c r="A14" s="10"/>
      <c r="B14" s="11"/>
      <c r="C14" s="11"/>
      <c r="D14" s="11"/>
    </row>
    <row r="15" spans="1:4" ht="16.95" customHeight="1" x14ac:dyDescent="0.3">
      <c r="A15" s="12" t="s">
        <v>14</v>
      </c>
      <c r="B15" s="9" t="s">
        <v>15</v>
      </c>
      <c r="C15" s="9"/>
      <c r="D15" s="9"/>
    </row>
    <row r="16" spans="1:4" x14ac:dyDescent="0.3">
      <c r="A16" s="12"/>
      <c r="B16" s="9"/>
      <c r="C16" s="9"/>
      <c r="D16" s="9"/>
    </row>
    <row r="17" spans="1:4" ht="16.2" thickBot="1" x14ac:dyDescent="0.35"/>
    <row r="18" spans="1:4" ht="23.4" x14ac:dyDescent="0.3">
      <c r="A18" s="3" t="s">
        <v>16</v>
      </c>
      <c r="B18" s="3"/>
      <c r="C18" s="3"/>
      <c r="D18" s="3"/>
    </row>
    <row r="19" spans="1:4" x14ac:dyDescent="0.3">
      <c r="A19" s="4" t="s">
        <v>2</v>
      </c>
      <c r="B19" s="5" t="s">
        <v>3</v>
      </c>
      <c r="C19" s="5"/>
      <c r="D19" s="5"/>
    </row>
    <row r="20" spans="1:4" x14ac:dyDescent="0.3">
      <c r="A20" s="13" t="s">
        <v>17</v>
      </c>
      <c r="B20" s="14" t="s">
        <v>18</v>
      </c>
      <c r="C20" s="14"/>
      <c r="D20" s="14"/>
    </row>
    <row r="21" spans="1:4" x14ac:dyDescent="0.3">
      <c r="A21" s="15" t="s">
        <v>19</v>
      </c>
      <c r="B21" s="16" t="s">
        <v>20</v>
      </c>
      <c r="C21" s="16"/>
      <c r="D21" s="16"/>
    </row>
    <row r="22" spans="1:4" x14ac:dyDescent="0.3">
      <c r="A22" s="13" t="s">
        <v>21</v>
      </c>
      <c r="B22" s="14" t="s">
        <v>22</v>
      </c>
      <c r="C22" s="14"/>
      <c r="D22" s="14"/>
    </row>
    <row r="23" spans="1:4" ht="16.95" customHeight="1" x14ac:dyDescent="0.3">
      <c r="A23" s="16" t="s">
        <v>23</v>
      </c>
      <c r="B23" s="17" t="s">
        <v>24</v>
      </c>
      <c r="C23" s="17"/>
      <c r="D23" s="17"/>
    </row>
    <row r="24" spans="1:4" x14ac:dyDescent="0.3">
      <c r="A24" s="16"/>
      <c r="B24" s="17"/>
      <c r="C24" s="17"/>
      <c r="D24" s="17"/>
    </row>
    <row r="25" spans="1:4" x14ac:dyDescent="0.3">
      <c r="A25" s="13" t="s">
        <v>25</v>
      </c>
      <c r="B25" s="14" t="s">
        <v>26</v>
      </c>
      <c r="C25" s="14"/>
      <c r="D25" s="14"/>
    </row>
    <row r="26" spans="1:4" ht="16.2" thickBot="1" x14ac:dyDescent="0.35"/>
    <row r="27" spans="1:4" ht="23.4" x14ac:dyDescent="0.3">
      <c r="A27" s="3" t="s">
        <v>27</v>
      </c>
      <c r="B27" s="3"/>
      <c r="C27" s="3"/>
      <c r="D27" s="3"/>
    </row>
    <row r="28" spans="1:4" x14ac:dyDescent="0.3">
      <c r="A28" s="4" t="s">
        <v>2</v>
      </c>
      <c r="B28" s="5" t="s">
        <v>3</v>
      </c>
      <c r="C28" s="5"/>
      <c r="D28" s="5"/>
    </row>
    <row r="29" spans="1:4" x14ac:dyDescent="0.3">
      <c r="A29" s="6" t="s">
        <v>4</v>
      </c>
      <c r="B29" s="7" t="s">
        <v>5</v>
      </c>
      <c r="C29" s="7"/>
      <c r="D29" s="7"/>
    </row>
    <row r="30" spans="1:4" x14ac:dyDescent="0.3">
      <c r="A30" s="12" t="s">
        <v>8</v>
      </c>
      <c r="B30" s="9" t="s">
        <v>9</v>
      </c>
      <c r="C30" s="9"/>
      <c r="D30" s="9"/>
    </row>
    <row r="31" spans="1:4" x14ac:dyDescent="0.3">
      <c r="A31" s="12"/>
      <c r="B31" s="9"/>
      <c r="C31" s="9"/>
      <c r="D31" s="9"/>
    </row>
    <row r="32" spans="1:4" x14ac:dyDescent="0.3">
      <c r="A32" s="10" t="s">
        <v>28</v>
      </c>
      <c r="B32" s="11" t="s">
        <v>29</v>
      </c>
      <c r="C32" s="11"/>
      <c r="D32" s="11"/>
    </row>
    <row r="33" spans="1:4" x14ac:dyDescent="0.3">
      <c r="A33" s="10"/>
      <c r="B33" s="11"/>
      <c r="C33" s="11"/>
      <c r="D33" s="11"/>
    </row>
  </sheetData>
  <mergeCells count="28">
    <mergeCell ref="A32:A33"/>
    <mergeCell ref="B32:D33"/>
    <mergeCell ref="B25:D25"/>
    <mergeCell ref="A27:D27"/>
    <mergeCell ref="B28:D28"/>
    <mergeCell ref="B29:D29"/>
    <mergeCell ref="A30:A31"/>
    <mergeCell ref="B30:D31"/>
    <mergeCell ref="A18:D18"/>
    <mergeCell ref="B19:D19"/>
    <mergeCell ref="B20:D20"/>
    <mergeCell ref="B21:D21"/>
    <mergeCell ref="B22:D22"/>
    <mergeCell ref="A23:A24"/>
    <mergeCell ref="B23:D24"/>
    <mergeCell ref="A10:A11"/>
    <mergeCell ref="B10:D11"/>
    <mergeCell ref="A12:A14"/>
    <mergeCell ref="B12:D14"/>
    <mergeCell ref="A15:A16"/>
    <mergeCell ref="B15:D16"/>
    <mergeCell ref="A1:D3"/>
    <mergeCell ref="A4:D4"/>
    <mergeCell ref="B5:D5"/>
    <mergeCell ref="B6:D6"/>
    <mergeCell ref="B7:D7"/>
    <mergeCell ref="A8:A9"/>
    <mergeCell ref="B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E68B-E69D-4655-828D-C1A81E643ED7}">
  <dimension ref="A1:E47"/>
  <sheetViews>
    <sheetView zoomScale="89" workbookViewId="0">
      <selection activeCell="E21" sqref="E21"/>
    </sheetView>
  </sheetViews>
  <sheetFormatPr defaultColWidth="10.69921875" defaultRowHeight="15.6" x14ac:dyDescent="0.3"/>
  <cols>
    <col min="1" max="1" width="17" bestFit="1" customWidth="1"/>
    <col min="2" max="2" width="19.19921875" bestFit="1" customWidth="1"/>
    <col min="3" max="3" width="20.296875" bestFit="1" customWidth="1"/>
    <col min="4" max="4" width="26.296875" bestFit="1" customWidth="1"/>
    <col min="5" max="5" width="20.5" bestFit="1" customWidth="1"/>
  </cols>
  <sheetData>
    <row r="1" spans="1:5" x14ac:dyDescent="0.3">
      <c r="A1" t="s">
        <v>17</v>
      </c>
      <c r="B1" t="s">
        <v>19</v>
      </c>
      <c r="C1" t="s">
        <v>21</v>
      </c>
      <c r="D1" t="s">
        <v>23</v>
      </c>
      <c r="E1" t="s">
        <v>25</v>
      </c>
    </row>
    <row r="2" spans="1:5" x14ac:dyDescent="0.3">
      <c r="A2" t="s">
        <v>30</v>
      </c>
      <c r="B2" t="s">
        <v>31</v>
      </c>
      <c r="C2" t="s">
        <v>32</v>
      </c>
      <c r="D2" t="s">
        <v>33</v>
      </c>
      <c r="E2" t="s">
        <v>34</v>
      </c>
    </row>
    <row r="3" spans="1:5" x14ac:dyDescent="0.3">
      <c r="A3" t="s">
        <v>35</v>
      </c>
      <c r="B3" t="s">
        <v>36</v>
      </c>
      <c r="C3" t="s">
        <v>37</v>
      </c>
      <c r="D3" t="s">
        <v>38</v>
      </c>
      <c r="E3" t="s">
        <v>34</v>
      </c>
    </row>
    <row r="4" spans="1:5" x14ac:dyDescent="0.3">
      <c r="A4" t="s">
        <v>39</v>
      </c>
      <c r="B4" t="s">
        <v>31</v>
      </c>
      <c r="C4" t="s">
        <v>37</v>
      </c>
      <c r="D4" t="s">
        <v>40</v>
      </c>
      <c r="E4" t="s">
        <v>34</v>
      </c>
    </row>
    <row r="5" spans="1:5" x14ac:dyDescent="0.3">
      <c r="A5" t="s">
        <v>41</v>
      </c>
      <c r="B5" t="s">
        <v>31</v>
      </c>
      <c r="C5" t="s">
        <v>32</v>
      </c>
      <c r="D5" t="s">
        <v>33</v>
      </c>
      <c r="E5" t="s">
        <v>34</v>
      </c>
    </row>
    <row r="6" spans="1:5" x14ac:dyDescent="0.3">
      <c r="A6" t="s">
        <v>42</v>
      </c>
      <c r="B6" t="s">
        <v>36</v>
      </c>
      <c r="C6" t="s">
        <v>32</v>
      </c>
      <c r="D6" t="s">
        <v>33</v>
      </c>
      <c r="E6" t="s">
        <v>25</v>
      </c>
    </row>
    <row r="7" spans="1:5" x14ac:dyDescent="0.3">
      <c r="A7" t="s">
        <v>43</v>
      </c>
      <c r="B7" t="s">
        <v>36</v>
      </c>
      <c r="C7" t="s">
        <v>37</v>
      </c>
      <c r="D7" t="s">
        <v>38</v>
      </c>
      <c r="E7" t="s">
        <v>34</v>
      </c>
    </row>
    <row r="8" spans="1:5" x14ac:dyDescent="0.3">
      <c r="A8" t="s">
        <v>44</v>
      </c>
      <c r="B8" t="s">
        <v>31</v>
      </c>
      <c r="C8" t="s">
        <v>32</v>
      </c>
      <c r="D8" t="s">
        <v>33</v>
      </c>
      <c r="E8" t="s">
        <v>34</v>
      </c>
    </row>
    <row r="9" spans="1:5" x14ac:dyDescent="0.3">
      <c r="A9" t="s">
        <v>45</v>
      </c>
      <c r="B9" t="s">
        <v>36</v>
      </c>
      <c r="C9" t="s">
        <v>32</v>
      </c>
      <c r="D9" t="s">
        <v>33</v>
      </c>
      <c r="E9" t="s">
        <v>25</v>
      </c>
    </row>
    <row r="10" spans="1:5" x14ac:dyDescent="0.3">
      <c r="A10" t="s">
        <v>46</v>
      </c>
      <c r="B10" t="s">
        <v>31</v>
      </c>
      <c r="C10" t="s">
        <v>37</v>
      </c>
      <c r="D10" t="s">
        <v>40</v>
      </c>
      <c r="E10" t="s">
        <v>34</v>
      </c>
    </row>
    <row r="11" spans="1:5" x14ac:dyDescent="0.3">
      <c r="A11" t="s">
        <v>47</v>
      </c>
      <c r="B11" t="s">
        <v>48</v>
      </c>
      <c r="C11" t="s">
        <v>32</v>
      </c>
      <c r="D11" t="s">
        <v>33</v>
      </c>
      <c r="E11" t="s">
        <v>25</v>
      </c>
    </row>
    <row r="12" spans="1:5" x14ac:dyDescent="0.3">
      <c r="A12" t="s">
        <v>49</v>
      </c>
      <c r="B12" t="s">
        <v>31</v>
      </c>
      <c r="C12" t="s">
        <v>32</v>
      </c>
      <c r="D12" t="s">
        <v>33</v>
      </c>
      <c r="E12" t="s">
        <v>34</v>
      </c>
    </row>
    <row r="13" spans="1:5" x14ac:dyDescent="0.3">
      <c r="A13" t="s">
        <v>50</v>
      </c>
      <c r="B13" t="s">
        <v>31</v>
      </c>
      <c r="C13" t="s">
        <v>37</v>
      </c>
      <c r="D13" t="s">
        <v>40</v>
      </c>
      <c r="E13" t="s">
        <v>34</v>
      </c>
    </row>
    <row r="14" spans="1:5" x14ac:dyDescent="0.3">
      <c r="A14" t="s">
        <v>51</v>
      </c>
      <c r="B14" t="s">
        <v>48</v>
      </c>
      <c r="C14" t="s">
        <v>32</v>
      </c>
      <c r="D14" t="s">
        <v>33</v>
      </c>
      <c r="E14" t="s">
        <v>34</v>
      </c>
    </row>
    <row r="15" spans="1:5" x14ac:dyDescent="0.3">
      <c r="A15" t="s">
        <v>52</v>
      </c>
      <c r="B15" t="s">
        <v>36</v>
      </c>
      <c r="C15" t="s">
        <v>37</v>
      </c>
      <c r="D15" t="s">
        <v>38</v>
      </c>
      <c r="E15" t="s">
        <v>25</v>
      </c>
    </row>
    <row r="16" spans="1:5" x14ac:dyDescent="0.3">
      <c r="A16" t="s">
        <v>53</v>
      </c>
      <c r="B16" t="s">
        <v>36</v>
      </c>
      <c r="C16" t="s">
        <v>37</v>
      </c>
      <c r="D16" t="s">
        <v>38</v>
      </c>
      <c r="E16" t="s">
        <v>25</v>
      </c>
    </row>
    <row r="17" spans="1:5" x14ac:dyDescent="0.3">
      <c r="A17" t="s">
        <v>54</v>
      </c>
      <c r="B17" t="s">
        <v>31</v>
      </c>
      <c r="C17" t="s">
        <v>37</v>
      </c>
      <c r="D17" t="s">
        <v>40</v>
      </c>
      <c r="E17" t="s">
        <v>34</v>
      </c>
    </row>
    <row r="18" spans="1:5" x14ac:dyDescent="0.3">
      <c r="A18" t="s">
        <v>55</v>
      </c>
      <c r="B18" t="s">
        <v>36</v>
      </c>
      <c r="C18" t="s">
        <v>37</v>
      </c>
      <c r="D18" t="s">
        <v>38</v>
      </c>
      <c r="E18" t="s">
        <v>34</v>
      </c>
    </row>
    <row r="19" spans="1:5" x14ac:dyDescent="0.3">
      <c r="A19" t="s">
        <v>56</v>
      </c>
      <c r="B19" t="s">
        <v>48</v>
      </c>
      <c r="C19" t="s">
        <v>37</v>
      </c>
      <c r="D19" t="s">
        <v>40</v>
      </c>
      <c r="E19" t="s">
        <v>34</v>
      </c>
    </row>
    <row r="20" spans="1:5" x14ac:dyDescent="0.3">
      <c r="A20" t="s">
        <v>57</v>
      </c>
      <c r="B20" t="s">
        <v>48</v>
      </c>
      <c r="C20" t="s">
        <v>37</v>
      </c>
      <c r="D20" t="s">
        <v>40</v>
      </c>
      <c r="E20" t="s">
        <v>34</v>
      </c>
    </row>
    <row r="21" spans="1:5" x14ac:dyDescent="0.3">
      <c r="A21" t="s">
        <v>58</v>
      </c>
      <c r="B21" t="s">
        <v>48</v>
      </c>
      <c r="C21" t="s">
        <v>37</v>
      </c>
      <c r="D21" t="s">
        <v>40</v>
      </c>
      <c r="E21" t="s">
        <v>34</v>
      </c>
    </row>
    <row r="22" spans="1:5" x14ac:dyDescent="0.3">
      <c r="A22" t="s">
        <v>59</v>
      </c>
      <c r="B22" t="s">
        <v>36</v>
      </c>
      <c r="C22" t="s">
        <v>32</v>
      </c>
      <c r="D22" t="s">
        <v>33</v>
      </c>
      <c r="E22" t="s">
        <v>34</v>
      </c>
    </row>
    <row r="23" spans="1:5" x14ac:dyDescent="0.3">
      <c r="A23" t="s">
        <v>60</v>
      </c>
      <c r="B23" t="s">
        <v>48</v>
      </c>
      <c r="C23" t="s">
        <v>37</v>
      </c>
      <c r="D23" t="s">
        <v>40</v>
      </c>
      <c r="E23" t="s">
        <v>34</v>
      </c>
    </row>
    <row r="24" spans="1:5" x14ac:dyDescent="0.3">
      <c r="A24" t="s">
        <v>61</v>
      </c>
      <c r="B24" t="s">
        <v>48</v>
      </c>
      <c r="C24" t="s">
        <v>37</v>
      </c>
      <c r="D24" t="s">
        <v>40</v>
      </c>
      <c r="E24" t="s">
        <v>34</v>
      </c>
    </row>
    <row r="25" spans="1:5" x14ac:dyDescent="0.3">
      <c r="A25" t="s">
        <v>62</v>
      </c>
      <c r="B25" t="s">
        <v>48</v>
      </c>
      <c r="C25" t="s">
        <v>37</v>
      </c>
      <c r="D25" t="s">
        <v>40</v>
      </c>
      <c r="E25" t="s">
        <v>25</v>
      </c>
    </row>
    <row r="26" spans="1:5" x14ac:dyDescent="0.3">
      <c r="A26" t="s">
        <v>63</v>
      </c>
      <c r="B26" t="s">
        <v>36</v>
      </c>
      <c r="C26" t="s">
        <v>32</v>
      </c>
      <c r="D26" t="s">
        <v>33</v>
      </c>
      <c r="E26" t="s">
        <v>34</v>
      </c>
    </row>
    <row r="27" spans="1:5" x14ac:dyDescent="0.3">
      <c r="A27" t="s">
        <v>64</v>
      </c>
      <c r="B27" t="s">
        <v>31</v>
      </c>
      <c r="C27" t="s">
        <v>37</v>
      </c>
      <c r="D27" t="s">
        <v>40</v>
      </c>
      <c r="E27" t="s">
        <v>34</v>
      </c>
    </row>
    <row r="28" spans="1:5" x14ac:dyDescent="0.3">
      <c r="A28" t="s">
        <v>65</v>
      </c>
      <c r="B28" t="s">
        <v>36</v>
      </c>
      <c r="C28" t="s">
        <v>32</v>
      </c>
      <c r="D28" t="s">
        <v>33</v>
      </c>
      <c r="E28" t="s">
        <v>34</v>
      </c>
    </row>
    <row r="29" spans="1:5" x14ac:dyDescent="0.3">
      <c r="A29" t="s">
        <v>66</v>
      </c>
      <c r="B29" t="s">
        <v>36</v>
      </c>
      <c r="C29" t="s">
        <v>37</v>
      </c>
      <c r="D29" t="s">
        <v>38</v>
      </c>
      <c r="E29" t="s">
        <v>25</v>
      </c>
    </row>
    <row r="30" spans="1:5" x14ac:dyDescent="0.3">
      <c r="A30" t="s">
        <v>67</v>
      </c>
      <c r="B30" t="s">
        <v>31</v>
      </c>
      <c r="C30" t="s">
        <v>32</v>
      </c>
      <c r="D30" t="s">
        <v>33</v>
      </c>
      <c r="E30" t="s">
        <v>34</v>
      </c>
    </row>
    <row r="31" spans="1:5" x14ac:dyDescent="0.3">
      <c r="A31" t="s">
        <v>68</v>
      </c>
      <c r="B31" t="s">
        <v>36</v>
      </c>
      <c r="C31" t="s">
        <v>37</v>
      </c>
      <c r="D31" t="s">
        <v>38</v>
      </c>
      <c r="E31" t="s">
        <v>34</v>
      </c>
    </row>
    <row r="32" spans="1:5" x14ac:dyDescent="0.3">
      <c r="A32" t="s">
        <v>69</v>
      </c>
      <c r="B32" t="s">
        <v>36</v>
      </c>
      <c r="C32" t="s">
        <v>32</v>
      </c>
      <c r="D32" t="s">
        <v>33</v>
      </c>
      <c r="E32" t="s">
        <v>34</v>
      </c>
    </row>
    <row r="33" spans="1:5" x14ac:dyDescent="0.3">
      <c r="A33" t="s">
        <v>70</v>
      </c>
      <c r="B33" t="s">
        <v>36</v>
      </c>
      <c r="C33" t="s">
        <v>37</v>
      </c>
      <c r="D33" t="s">
        <v>38</v>
      </c>
      <c r="E33" t="s">
        <v>34</v>
      </c>
    </row>
    <row r="34" spans="1:5" x14ac:dyDescent="0.3">
      <c r="A34" t="s">
        <v>71</v>
      </c>
      <c r="B34" t="s">
        <v>31</v>
      </c>
      <c r="C34" t="s">
        <v>37</v>
      </c>
      <c r="D34" t="s">
        <v>40</v>
      </c>
      <c r="E34" t="s">
        <v>34</v>
      </c>
    </row>
    <row r="35" spans="1:5" x14ac:dyDescent="0.3">
      <c r="A35" t="s">
        <v>72</v>
      </c>
      <c r="B35" t="s">
        <v>36</v>
      </c>
      <c r="C35" t="s">
        <v>37</v>
      </c>
      <c r="D35" t="s">
        <v>38</v>
      </c>
      <c r="E35" t="s">
        <v>34</v>
      </c>
    </row>
    <row r="36" spans="1:5" x14ac:dyDescent="0.3">
      <c r="A36" t="s">
        <v>73</v>
      </c>
      <c r="B36" t="s">
        <v>31</v>
      </c>
      <c r="C36" t="s">
        <v>37</v>
      </c>
      <c r="D36" t="s">
        <v>40</v>
      </c>
      <c r="E36" t="s">
        <v>34</v>
      </c>
    </row>
    <row r="37" spans="1:5" x14ac:dyDescent="0.3">
      <c r="A37" t="s">
        <v>74</v>
      </c>
      <c r="B37" t="s">
        <v>31</v>
      </c>
      <c r="C37" t="s">
        <v>32</v>
      </c>
      <c r="D37" t="s">
        <v>33</v>
      </c>
      <c r="E37" t="s">
        <v>34</v>
      </c>
    </row>
    <row r="38" spans="1:5" x14ac:dyDescent="0.3">
      <c r="A38" t="s">
        <v>75</v>
      </c>
      <c r="B38" t="s">
        <v>31</v>
      </c>
      <c r="C38" t="s">
        <v>32</v>
      </c>
      <c r="D38" t="s">
        <v>33</v>
      </c>
      <c r="E38" t="s">
        <v>34</v>
      </c>
    </row>
    <row r="39" spans="1:5" x14ac:dyDescent="0.3">
      <c r="A39" t="s">
        <v>76</v>
      </c>
      <c r="B39" t="s">
        <v>36</v>
      </c>
      <c r="C39" t="s">
        <v>37</v>
      </c>
      <c r="D39" t="s">
        <v>38</v>
      </c>
      <c r="E39" t="s">
        <v>25</v>
      </c>
    </row>
    <row r="40" spans="1:5" x14ac:dyDescent="0.3">
      <c r="A40" t="s">
        <v>77</v>
      </c>
      <c r="B40" t="s">
        <v>36</v>
      </c>
      <c r="C40" t="s">
        <v>37</v>
      </c>
      <c r="D40" t="s">
        <v>38</v>
      </c>
      <c r="E40" t="s">
        <v>25</v>
      </c>
    </row>
    <row r="41" spans="1:5" x14ac:dyDescent="0.3">
      <c r="A41" t="s">
        <v>78</v>
      </c>
      <c r="B41" t="s">
        <v>36</v>
      </c>
      <c r="C41" t="s">
        <v>37</v>
      </c>
      <c r="D41" t="s">
        <v>38</v>
      </c>
      <c r="E41" t="s">
        <v>34</v>
      </c>
    </row>
    <row r="42" spans="1:5" x14ac:dyDescent="0.3">
      <c r="A42" t="s">
        <v>79</v>
      </c>
      <c r="B42" t="s">
        <v>31</v>
      </c>
      <c r="C42" t="s">
        <v>32</v>
      </c>
      <c r="D42" t="s">
        <v>33</v>
      </c>
      <c r="E42" t="s">
        <v>34</v>
      </c>
    </row>
    <row r="43" spans="1:5" x14ac:dyDescent="0.3">
      <c r="A43" t="s">
        <v>80</v>
      </c>
      <c r="B43" t="s">
        <v>31</v>
      </c>
      <c r="C43" t="s">
        <v>32</v>
      </c>
      <c r="D43" t="s">
        <v>33</v>
      </c>
      <c r="E43" t="s">
        <v>34</v>
      </c>
    </row>
    <row r="44" spans="1:5" x14ac:dyDescent="0.3">
      <c r="A44" t="s">
        <v>81</v>
      </c>
      <c r="B44" t="s">
        <v>31</v>
      </c>
      <c r="C44" t="s">
        <v>37</v>
      </c>
      <c r="D44" t="s">
        <v>40</v>
      </c>
      <c r="E44" t="s">
        <v>34</v>
      </c>
    </row>
    <row r="45" spans="1:5" x14ac:dyDescent="0.3">
      <c r="A45" t="s">
        <v>82</v>
      </c>
      <c r="B45" t="s">
        <v>48</v>
      </c>
      <c r="C45" t="s">
        <v>37</v>
      </c>
      <c r="D45" t="s">
        <v>40</v>
      </c>
      <c r="E45" t="s">
        <v>34</v>
      </c>
    </row>
    <row r="46" spans="1:5" x14ac:dyDescent="0.3">
      <c r="A46" t="s">
        <v>83</v>
      </c>
      <c r="B46" t="s">
        <v>48</v>
      </c>
      <c r="C46" t="s">
        <v>37</v>
      </c>
      <c r="D46" t="s">
        <v>40</v>
      </c>
      <c r="E46" t="s">
        <v>34</v>
      </c>
    </row>
    <row r="47" spans="1:5" x14ac:dyDescent="0.3">
      <c r="A47" t="s">
        <v>84</v>
      </c>
      <c r="B47" t="s">
        <v>36</v>
      </c>
      <c r="C47" t="s">
        <v>37</v>
      </c>
      <c r="D47" t="s">
        <v>38</v>
      </c>
      <c r="E47"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8F804-549B-4191-BF67-CA30BAC37E1A}">
  <dimension ref="A1:C219"/>
  <sheetViews>
    <sheetView zoomScale="115" workbookViewId="0">
      <selection activeCell="D8" sqref="D8"/>
    </sheetView>
  </sheetViews>
  <sheetFormatPr defaultColWidth="10.69921875" defaultRowHeight="15.6" x14ac:dyDescent="0.3"/>
  <cols>
    <col min="1" max="1" width="11.69921875" bestFit="1" customWidth="1"/>
    <col min="2" max="2" width="58.19921875" customWidth="1"/>
    <col min="3" max="3" width="28" bestFit="1" customWidth="1"/>
  </cols>
  <sheetData>
    <row r="1" spans="1:3" x14ac:dyDescent="0.3">
      <c r="A1" t="s">
        <v>4</v>
      </c>
      <c r="B1" t="s">
        <v>8</v>
      </c>
      <c r="C1" t="s">
        <v>28</v>
      </c>
    </row>
    <row r="2" spans="1:3" x14ac:dyDescent="0.3">
      <c r="A2" t="s">
        <v>85</v>
      </c>
      <c r="B2" t="s">
        <v>86</v>
      </c>
      <c r="C2" t="s">
        <v>87</v>
      </c>
    </row>
    <row r="3" spans="1:3" x14ac:dyDescent="0.3">
      <c r="A3" t="s">
        <v>88</v>
      </c>
      <c r="B3" t="s">
        <v>89</v>
      </c>
      <c r="C3" t="s">
        <v>90</v>
      </c>
    </row>
    <row r="4" spans="1:3" x14ac:dyDescent="0.3">
      <c r="A4" t="s">
        <v>91</v>
      </c>
      <c r="B4" t="s">
        <v>92</v>
      </c>
      <c r="C4" t="s">
        <v>87</v>
      </c>
    </row>
    <row r="5" spans="1:3" x14ac:dyDescent="0.3">
      <c r="A5" t="s">
        <v>93</v>
      </c>
      <c r="B5" t="s">
        <v>94</v>
      </c>
      <c r="C5" t="s">
        <v>95</v>
      </c>
    </row>
    <row r="6" spans="1:3" x14ac:dyDescent="0.3">
      <c r="A6" t="s">
        <v>96</v>
      </c>
      <c r="B6" t="s">
        <v>97</v>
      </c>
      <c r="C6" t="s">
        <v>90</v>
      </c>
    </row>
    <row r="7" spans="1:3" x14ac:dyDescent="0.3">
      <c r="A7" t="s">
        <v>98</v>
      </c>
      <c r="B7" t="s">
        <v>99</v>
      </c>
      <c r="C7" t="s">
        <v>100</v>
      </c>
    </row>
    <row r="8" spans="1:3" x14ac:dyDescent="0.3">
      <c r="A8" t="s">
        <v>101</v>
      </c>
      <c r="B8" t="s">
        <v>102</v>
      </c>
      <c r="C8" t="s">
        <v>87</v>
      </c>
    </row>
    <row r="9" spans="1:3" x14ac:dyDescent="0.3">
      <c r="A9" t="s">
        <v>103</v>
      </c>
      <c r="B9" t="s">
        <v>104</v>
      </c>
      <c r="C9" t="s">
        <v>105</v>
      </c>
    </row>
    <row r="10" spans="1:3" x14ac:dyDescent="0.3">
      <c r="A10" t="s">
        <v>106</v>
      </c>
      <c r="B10" t="s">
        <v>107</v>
      </c>
      <c r="C10" t="s">
        <v>87</v>
      </c>
    </row>
    <row r="11" spans="1:3" x14ac:dyDescent="0.3">
      <c r="A11" t="s">
        <v>108</v>
      </c>
      <c r="B11" t="s">
        <v>109</v>
      </c>
      <c r="C11" t="s">
        <v>90</v>
      </c>
    </row>
    <row r="12" spans="1:3" x14ac:dyDescent="0.3">
      <c r="A12" t="s">
        <v>110</v>
      </c>
      <c r="B12" t="s">
        <v>111</v>
      </c>
      <c r="C12" t="s">
        <v>90</v>
      </c>
    </row>
    <row r="13" spans="1:3" x14ac:dyDescent="0.3">
      <c r="A13" t="s">
        <v>112</v>
      </c>
      <c r="B13" t="s">
        <v>113</v>
      </c>
      <c r="C13" t="s">
        <v>87</v>
      </c>
    </row>
    <row r="14" spans="1:3" x14ac:dyDescent="0.3">
      <c r="A14" t="s">
        <v>114</v>
      </c>
      <c r="B14" t="s">
        <v>115</v>
      </c>
      <c r="C14" t="s">
        <v>116</v>
      </c>
    </row>
    <row r="15" spans="1:3" x14ac:dyDescent="0.3">
      <c r="A15" t="s">
        <v>117</v>
      </c>
      <c r="B15" t="s">
        <v>118</v>
      </c>
      <c r="C15" t="s">
        <v>105</v>
      </c>
    </row>
    <row r="16" spans="1:3" x14ac:dyDescent="0.3">
      <c r="A16" t="s">
        <v>119</v>
      </c>
      <c r="B16" t="s">
        <v>120</v>
      </c>
      <c r="C16" t="s">
        <v>90</v>
      </c>
    </row>
    <row r="17" spans="1:3" x14ac:dyDescent="0.3">
      <c r="A17" t="s">
        <v>121</v>
      </c>
      <c r="B17" t="s">
        <v>122</v>
      </c>
      <c r="C17" t="s">
        <v>116</v>
      </c>
    </row>
    <row r="18" spans="1:3" x14ac:dyDescent="0.3">
      <c r="A18" t="s">
        <v>123</v>
      </c>
      <c r="B18" t="s">
        <v>124</v>
      </c>
      <c r="C18" t="s">
        <v>105</v>
      </c>
    </row>
    <row r="19" spans="1:3" x14ac:dyDescent="0.3">
      <c r="A19" t="s">
        <v>125</v>
      </c>
      <c r="B19" t="s">
        <v>126</v>
      </c>
      <c r="C19" t="s">
        <v>105</v>
      </c>
    </row>
    <row r="20" spans="1:3" x14ac:dyDescent="0.3">
      <c r="A20" t="s">
        <v>127</v>
      </c>
      <c r="B20" t="s">
        <v>128</v>
      </c>
      <c r="C20" t="s">
        <v>105</v>
      </c>
    </row>
    <row r="21" spans="1:3" x14ac:dyDescent="0.3">
      <c r="A21" t="s">
        <v>129</v>
      </c>
      <c r="B21" t="s">
        <v>130</v>
      </c>
      <c r="C21" t="s">
        <v>100</v>
      </c>
    </row>
    <row r="22" spans="1:3" x14ac:dyDescent="0.3">
      <c r="A22" t="s">
        <v>131</v>
      </c>
      <c r="B22" t="s">
        <v>132</v>
      </c>
      <c r="C22" t="s">
        <v>90</v>
      </c>
    </row>
    <row r="23" spans="1:3" x14ac:dyDescent="0.3">
      <c r="A23" t="s">
        <v>133</v>
      </c>
      <c r="B23" t="s">
        <v>134</v>
      </c>
      <c r="C23" t="s">
        <v>87</v>
      </c>
    </row>
    <row r="24" spans="1:3" x14ac:dyDescent="0.3">
      <c r="A24" t="s">
        <v>135</v>
      </c>
      <c r="B24" t="s">
        <v>136</v>
      </c>
      <c r="C24" t="s">
        <v>90</v>
      </c>
    </row>
    <row r="25" spans="1:3" x14ac:dyDescent="0.3">
      <c r="A25" t="s">
        <v>137</v>
      </c>
      <c r="B25" t="s">
        <v>138</v>
      </c>
      <c r="C25" t="s">
        <v>116</v>
      </c>
    </row>
    <row r="26" spans="1:3" x14ac:dyDescent="0.3">
      <c r="A26" t="s">
        <v>139</v>
      </c>
      <c r="B26" t="s">
        <v>140</v>
      </c>
      <c r="C26" t="s">
        <v>116</v>
      </c>
    </row>
    <row r="27" spans="1:3" x14ac:dyDescent="0.3">
      <c r="A27" t="s">
        <v>141</v>
      </c>
      <c r="B27" t="s">
        <v>142</v>
      </c>
      <c r="C27" t="s">
        <v>100</v>
      </c>
    </row>
    <row r="28" spans="1:3" x14ac:dyDescent="0.3">
      <c r="A28" t="s">
        <v>143</v>
      </c>
      <c r="B28" t="s">
        <v>144</v>
      </c>
      <c r="C28" t="s">
        <v>90</v>
      </c>
    </row>
    <row r="29" spans="1:3" x14ac:dyDescent="0.3">
      <c r="A29" t="s">
        <v>145</v>
      </c>
      <c r="B29" t="s">
        <v>146</v>
      </c>
      <c r="C29" t="s">
        <v>100</v>
      </c>
    </row>
    <row r="30" spans="1:3" x14ac:dyDescent="0.3">
      <c r="A30" t="s">
        <v>147</v>
      </c>
      <c r="B30" t="s">
        <v>148</v>
      </c>
      <c r="C30" t="s">
        <v>87</v>
      </c>
    </row>
    <row r="31" spans="1:3" x14ac:dyDescent="0.3">
      <c r="A31" t="s">
        <v>149</v>
      </c>
      <c r="B31" t="s">
        <v>150</v>
      </c>
      <c r="C31" t="s">
        <v>87</v>
      </c>
    </row>
    <row r="32" spans="1:3" x14ac:dyDescent="0.3">
      <c r="A32" t="s">
        <v>151</v>
      </c>
      <c r="B32" t="s">
        <v>152</v>
      </c>
      <c r="C32" t="s">
        <v>87</v>
      </c>
    </row>
    <row r="33" spans="1:3" x14ac:dyDescent="0.3">
      <c r="A33" t="s">
        <v>153</v>
      </c>
      <c r="B33" t="s">
        <v>154</v>
      </c>
      <c r="C33" t="s">
        <v>116</v>
      </c>
    </row>
    <row r="34" spans="1:3" x14ac:dyDescent="0.3">
      <c r="A34" t="s">
        <v>155</v>
      </c>
      <c r="B34" t="s">
        <v>156</v>
      </c>
      <c r="C34" t="s">
        <v>105</v>
      </c>
    </row>
    <row r="35" spans="1:3" x14ac:dyDescent="0.3">
      <c r="A35" t="s">
        <v>157</v>
      </c>
      <c r="B35" t="s">
        <v>158</v>
      </c>
      <c r="C35" t="s">
        <v>116</v>
      </c>
    </row>
    <row r="36" spans="1:3" x14ac:dyDescent="0.3">
      <c r="A36" t="s">
        <v>159</v>
      </c>
      <c r="B36" t="s">
        <v>160</v>
      </c>
      <c r="C36" t="s">
        <v>90</v>
      </c>
    </row>
    <row r="37" spans="1:3" x14ac:dyDescent="0.3">
      <c r="A37" t="s">
        <v>161</v>
      </c>
      <c r="B37" t="s">
        <v>162</v>
      </c>
      <c r="C37" t="s">
        <v>116</v>
      </c>
    </row>
    <row r="38" spans="1:3" x14ac:dyDescent="0.3">
      <c r="A38" t="s">
        <v>163</v>
      </c>
      <c r="B38" t="s">
        <v>164</v>
      </c>
      <c r="C38" t="s">
        <v>87</v>
      </c>
    </row>
    <row r="39" spans="1:3" x14ac:dyDescent="0.3">
      <c r="A39" t="s">
        <v>165</v>
      </c>
      <c r="B39" t="s">
        <v>166</v>
      </c>
      <c r="C39" t="s">
        <v>105</v>
      </c>
    </row>
    <row r="40" spans="1:3" x14ac:dyDescent="0.3">
      <c r="A40" t="s">
        <v>167</v>
      </c>
      <c r="B40" t="s">
        <v>168</v>
      </c>
      <c r="C40" t="s">
        <v>87</v>
      </c>
    </row>
    <row r="41" spans="1:3" x14ac:dyDescent="0.3">
      <c r="A41" t="s">
        <v>169</v>
      </c>
      <c r="B41" t="s">
        <v>170</v>
      </c>
      <c r="C41" t="s">
        <v>116</v>
      </c>
    </row>
    <row r="42" spans="1:3" x14ac:dyDescent="0.3">
      <c r="A42" t="s">
        <v>171</v>
      </c>
      <c r="B42" t="s">
        <v>172</v>
      </c>
      <c r="C42" t="s">
        <v>116</v>
      </c>
    </row>
    <row r="43" spans="1:3" x14ac:dyDescent="0.3">
      <c r="A43" t="s">
        <v>173</v>
      </c>
      <c r="B43" t="s">
        <v>174</v>
      </c>
      <c r="C43" t="s">
        <v>95</v>
      </c>
    </row>
    <row r="44" spans="1:3" x14ac:dyDescent="0.3">
      <c r="A44" t="s">
        <v>175</v>
      </c>
      <c r="B44" t="s">
        <v>176</v>
      </c>
      <c r="C44" t="s">
        <v>90</v>
      </c>
    </row>
    <row r="45" spans="1:3" x14ac:dyDescent="0.3">
      <c r="A45" t="s">
        <v>177</v>
      </c>
      <c r="B45" t="s">
        <v>178</v>
      </c>
      <c r="C45" t="s">
        <v>87</v>
      </c>
    </row>
    <row r="46" spans="1:3" x14ac:dyDescent="0.3">
      <c r="A46" t="s">
        <v>179</v>
      </c>
      <c r="B46" t="s">
        <v>180</v>
      </c>
      <c r="C46" t="s">
        <v>116</v>
      </c>
    </row>
    <row r="47" spans="1:3" x14ac:dyDescent="0.3">
      <c r="A47" t="s">
        <v>181</v>
      </c>
      <c r="B47" t="s">
        <v>182</v>
      </c>
      <c r="C47" t="s">
        <v>87</v>
      </c>
    </row>
    <row r="48" spans="1:3" x14ac:dyDescent="0.3">
      <c r="A48" t="s">
        <v>183</v>
      </c>
      <c r="B48" t="s">
        <v>184</v>
      </c>
      <c r="C48" t="s">
        <v>90</v>
      </c>
    </row>
    <row r="49" spans="1:3" x14ac:dyDescent="0.3">
      <c r="A49" t="s">
        <v>185</v>
      </c>
      <c r="B49" t="s">
        <v>186</v>
      </c>
      <c r="C49" t="s">
        <v>105</v>
      </c>
    </row>
    <row r="50" spans="1:3" x14ac:dyDescent="0.3">
      <c r="A50" t="s">
        <v>187</v>
      </c>
      <c r="B50" t="s">
        <v>188</v>
      </c>
      <c r="C50" t="s">
        <v>90</v>
      </c>
    </row>
    <row r="51" spans="1:3" x14ac:dyDescent="0.3">
      <c r="A51" t="s">
        <v>189</v>
      </c>
      <c r="B51" t="s">
        <v>190</v>
      </c>
      <c r="C51" t="s">
        <v>116</v>
      </c>
    </row>
    <row r="52" spans="1:3" x14ac:dyDescent="0.3">
      <c r="A52" t="s">
        <v>191</v>
      </c>
      <c r="B52" t="s">
        <v>192</v>
      </c>
      <c r="C52" t="s">
        <v>100</v>
      </c>
    </row>
    <row r="53" spans="1:3" x14ac:dyDescent="0.3">
      <c r="A53" t="s">
        <v>193</v>
      </c>
      <c r="B53" t="s">
        <v>194</v>
      </c>
      <c r="C53" t="s">
        <v>100</v>
      </c>
    </row>
    <row r="54" spans="1:3" x14ac:dyDescent="0.3">
      <c r="A54" t="s">
        <v>195</v>
      </c>
      <c r="B54" t="s">
        <v>196</v>
      </c>
      <c r="C54" t="s">
        <v>116</v>
      </c>
    </row>
    <row r="55" spans="1:3" x14ac:dyDescent="0.3">
      <c r="A55" t="s">
        <v>197</v>
      </c>
      <c r="B55" t="s">
        <v>198</v>
      </c>
      <c r="C55" t="s">
        <v>116</v>
      </c>
    </row>
    <row r="56" spans="1:3" x14ac:dyDescent="0.3">
      <c r="A56" t="s">
        <v>199</v>
      </c>
      <c r="B56" t="s">
        <v>200</v>
      </c>
      <c r="C56" t="s">
        <v>116</v>
      </c>
    </row>
    <row r="57" spans="1:3" x14ac:dyDescent="0.3">
      <c r="A57" t="s">
        <v>201</v>
      </c>
      <c r="B57" t="s">
        <v>202</v>
      </c>
      <c r="C57" t="s">
        <v>105</v>
      </c>
    </row>
    <row r="58" spans="1:3" x14ac:dyDescent="0.3">
      <c r="A58" t="s">
        <v>203</v>
      </c>
      <c r="B58" t="s">
        <v>204</v>
      </c>
      <c r="C58" t="s">
        <v>100</v>
      </c>
    </row>
    <row r="59" spans="1:3" x14ac:dyDescent="0.3">
      <c r="A59" t="s">
        <v>205</v>
      </c>
      <c r="B59" t="s">
        <v>206</v>
      </c>
      <c r="C59" t="s">
        <v>100</v>
      </c>
    </row>
    <row r="60" spans="1:3" x14ac:dyDescent="0.3">
      <c r="A60" t="s">
        <v>207</v>
      </c>
      <c r="B60" t="s">
        <v>208</v>
      </c>
      <c r="C60" t="s">
        <v>100</v>
      </c>
    </row>
    <row r="61" spans="1:3" x14ac:dyDescent="0.3">
      <c r="A61" t="s">
        <v>209</v>
      </c>
      <c r="B61" t="s">
        <v>210</v>
      </c>
      <c r="C61" t="s">
        <v>95</v>
      </c>
    </row>
    <row r="62" spans="1:3" x14ac:dyDescent="0.3">
      <c r="A62" t="s">
        <v>211</v>
      </c>
      <c r="B62" t="s">
        <v>212</v>
      </c>
      <c r="C62" t="s">
        <v>116</v>
      </c>
    </row>
    <row r="63" spans="1:3" x14ac:dyDescent="0.3">
      <c r="A63" t="s">
        <v>213</v>
      </c>
      <c r="B63" t="s">
        <v>214</v>
      </c>
      <c r="C63" t="s">
        <v>87</v>
      </c>
    </row>
    <row r="64" spans="1:3" x14ac:dyDescent="0.3">
      <c r="A64" t="s">
        <v>215</v>
      </c>
      <c r="B64" t="s">
        <v>216</v>
      </c>
      <c r="C64" t="s">
        <v>87</v>
      </c>
    </row>
    <row r="65" spans="1:3" x14ac:dyDescent="0.3">
      <c r="A65" t="s">
        <v>217</v>
      </c>
      <c r="B65" t="s">
        <v>218</v>
      </c>
      <c r="C65" t="s">
        <v>87</v>
      </c>
    </row>
    <row r="66" spans="1:3" x14ac:dyDescent="0.3">
      <c r="A66" t="s">
        <v>219</v>
      </c>
      <c r="B66" t="s">
        <v>220</v>
      </c>
      <c r="C66" t="s">
        <v>116</v>
      </c>
    </row>
    <row r="67" spans="1:3" x14ac:dyDescent="0.3">
      <c r="A67" t="s">
        <v>221</v>
      </c>
      <c r="B67" t="s">
        <v>222</v>
      </c>
      <c r="C67" t="s">
        <v>90</v>
      </c>
    </row>
    <row r="68" spans="1:3" x14ac:dyDescent="0.3">
      <c r="A68" t="s">
        <v>223</v>
      </c>
      <c r="B68" t="s">
        <v>224</v>
      </c>
      <c r="C68" t="s">
        <v>87</v>
      </c>
    </row>
    <row r="69" spans="1:3" x14ac:dyDescent="0.3">
      <c r="A69" t="s">
        <v>225</v>
      </c>
      <c r="B69" t="s">
        <v>226</v>
      </c>
      <c r="C69" t="s">
        <v>90</v>
      </c>
    </row>
    <row r="70" spans="1:3" x14ac:dyDescent="0.3">
      <c r="A70" t="s">
        <v>227</v>
      </c>
      <c r="B70" t="s">
        <v>228</v>
      </c>
      <c r="C70" t="s">
        <v>87</v>
      </c>
    </row>
    <row r="71" spans="1:3" x14ac:dyDescent="0.3">
      <c r="A71" t="s">
        <v>229</v>
      </c>
      <c r="B71" t="s">
        <v>230</v>
      </c>
      <c r="C71" t="s">
        <v>105</v>
      </c>
    </row>
    <row r="72" spans="1:3" x14ac:dyDescent="0.3">
      <c r="A72" t="s">
        <v>231</v>
      </c>
      <c r="B72" t="s">
        <v>232</v>
      </c>
      <c r="C72" t="s">
        <v>90</v>
      </c>
    </row>
    <row r="73" spans="1:3" x14ac:dyDescent="0.3">
      <c r="A73" t="s">
        <v>233</v>
      </c>
      <c r="B73" t="s">
        <v>234</v>
      </c>
      <c r="C73" t="s">
        <v>116</v>
      </c>
    </row>
    <row r="74" spans="1:3" x14ac:dyDescent="0.3">
      <c r="A74" t="s">
        <v>235</v>
      </c>
      <c r="B74" t="s">
        <v>236</v>
      </c>
      <c r="C74" t="s">
        <v>90</v>
      </c>
    </row>
    <row r="75" spans="1:3" x14ac:dyDescent="0.3">
      <c r="A75" t="s">
        <v>237</v>
      </c>
      <c r="B75" t="s">
        <v>238</v>
      </c>
      <c r="C75" t="s">
        <v>100</v>
      </c>
    </row>
    <row r="76" spans="1:3" x14ac:dyDescent="0.3">
      <c r="A76" t="s">
        <v>239</v>
      </c>
      <c r="B76" t="s">
        <v>240</v>
      </c>
      <c r="C76" t="s">
        <v>116</v>
      </c>
    </row>
    <row r="77" spans="1:3" x14ac:dyDescent="0.3">
      <c r="A77" t="s">
        <v>241</v>
      </c>
      <c r="B77" t="s">
        <v>242</v>
      </c>
      <c r="C77" t="s">
        <v>95</v>
      </c>
    </row>
    <row r="78" spans="1:3" x14ac:dyDescent="0.3">
      <c r="A78" t="s">
        <v>243</v>
      </c>
      <c r="B78" t="s">
        <v>244</v>
      </c>
      <c r="C78" t="s">
        <v>100</v>
      </c>
    </row>
    <row r="79" spans="1:3" x14ac:dyDescent="0.3">
      <c r="A79" t="s">
        <v>245</v>
      </c>
      <c r="B79" t="s">
        <v>246</v>
      </c>
      <c r="C79" t="s">
        <v>87</v>
      </c>
    </row>
    <row r="80" spans="1:3" x14ac:dyDescent="0.3">
      <c r="A80" t="s">
        <v>247</v>
      </c>
      <c r="B80" t="s">
        <v>248</v>
      </c>
      <c r="C80" t="s">
        <v>116</v>
      </c>
    </row>
    <row r="81" spans="1:3" x14ac:dyDescent="0.3">
      <c r="A81" t="s">
        <v>249</v>
      </c>
      <c r="B81" t="s">
        <v>250</v>
      </c>
      <c r="C81" t="s">
        <v>90</v>
      </c>
    </row>
    <row r="82" spans="1:3" x14ac:dyDescent="0.3">
      <c r="A82" t="s">
        <v>251</v>
      </c>
      <c r="B82" t="s">
        <v>252</v>
      </c>
      <c r="C82" t="s">
        <v>87</v>
      </c>
    </row>
    <row r="83" spans="1:3" x14ac:dyDescent="0.3">
      <c r="A83" t="s">
        <v>253</v>
      </c>
      <c r="B83" t="s">
        <v>254</v>
      </c>
      <c r="C83" t="s">
        <v>116</v>
      </c>
    </row>
    <row r="84" spans="1:3" x14ac:dyDescent="0.3">
      <c r="A84" t="s">
        <v>255</v>
      </c>
      <c r="B84" t="s">
        <v>256</v>
      </c>
      <c r="C84" t="s">
        <v>90</v>
      </c>
    </row>
    <row r="85" spans="1:3" x14ac:dyDescent="0.3">
      <c r="A85" t="s">
        <v>257</v>
      </c>
      <c r="B85" t="s">
        <v>258</v>
      </c>
      <c r="C85" t="s">
        <v>87</v>
      </c>
    </row>
    <row r="86" spans="1:3" x14ac:dyDescent="0.3">
      <c r="A86" t="s">
        <v>259</v>
      </c>
      <c r="B86" t="s">
        <v>260</v>
      </c>
      <c r="C86" t="s">
        <v>116</v>
      </c>
    </row>
    <row r="87" spans="1:3" x14ac:dyDescent="0.3">
      <c r="A87" t="s">
        <v>261</v>
      </c>
      <c r="B87" t="s">
        <v>262</v>
      </c>
      <c r="C87" t="s">
        <v>116</v>
      </c>
    </row>
    <row r="88" spans="1:3" x14ac:dyDescent="0.3">
      <c r="A88" t="s">
        <v>263</v>
      </c>
      <c r="B88" t="s">
        <v>264</v>
      </c>
      <c r="C88" t="s">
        <v>90</v>
      </c>
    </row>
    <row r="89" spans="1:3" x14ac:dyDescent="0.3">
      <c r="A89" t="s">
        <v>265</v>
      </c>
      <c r="B89" t="s">
        <v>266</v>
      </c>
      <c r="C89" t="s">
        <v>116</v>
      </c>
    </row>
    <row r="90" spans="1:3" x14ac:dyDescent="0.3">
      <c r="A90" t="s">
        <v>267</v>
      </c>
      <c r="B90" t="s">
        <v>268</v>
      </c>
      <c r="C90" t="s">
        <v>116</v>
      </c>
    </row>
    <row r="91" spans="1:3" x14ac:dyDescent="0.3">
      <c r="A91" t="s">
        <v>269</v>
      </c>
      <c r="B91" t="s">
        <v>270</v>
      </c>
      <c r="C91" t="s">
        <v>87</v>
      </c>
    </row>
    <row r="92" spans="1:3" x14ac:dyDescent="0.3">
      <c r="A92" t="s">
        <v>271</v>
      </c>
      <c r="B92" t="s">
        <v>272</v>
      </c>
      <c r="C92" t="s">
        <v>87</v>
      </c>
    </row>
    <row r="93" spans="1:3" x14ac:dyDescent="0.3">
      <c r="A93" t="s">
        <v>273</v>
      </c>
      <c r="B93" t="s">
        <v>274</v>
      </c>
      <c r="C93" t="s">
        <v>90</v>
      </c>
    </row>
    <row r="94" spans="1:3" x14ac:dyDescent="0.3">
      <c r="A94" t="s">
        <v>275</v>
      </c>
      <c r="B94" t="s">
        <v>276</v>
      </c>
      <c r="C94" t="s">
        <v>87</v>
      </c>
    </row>
    <row r="95" spans="1:3" x14ac:dyDescent="0.3">
      <c r="A95" t="s">
        <v>277</v>
      </c>
      <c r="B95" t="s">
        <v>278</v>
      </c>
      <c r="C95" t="s">
        <v>90</v>
      </c>
    </row>
    <row r="96" spans="1:3" x14ac:dyDescent="0.3">
      <c r="A96" t="s">
        <v>279</v>
      </c>
      <c r="B96" t="s">
        <v>280</v>
      </c>
      <c r="C96" t="s">
        <v>87</v>
      </c>
    </row>
    <row r="97" spans="1:3" x14ac:dyDescent="0.3">
      <c r="A97" t="s">
        <v>281</v>
      </c>
      <c r="B97" t="s">
        <v>282</v>
      </c>
      <c r="C97" t="s">
        <v>87</v>
      </c>
    </row>
    <row r="98" spans="1:3" x14ac:dyDescent="0.3">
      <c r="A98" t="s">
        <v>283</v>
      </c>
      <c r="B98" t="s">
        <v>284</v>
      </c>
      <c r="C98" t="s">
        <v>100</v>
      </c>
    </row>
    <row r="99" spans="1:3" x14ac:dyDescent="0.3">
      <c r="A99" t="s">
        <v>285</v>
      </c>
      <c r="B99" t="s">
        <v>286</v>
      </c>
      <c r="C99" t="s">
        <v>105</v>
      </c>
    </row>
    <row r="100" spans="1:3" x14ac:dyDescent="0.3">
      <c r="A100" t="s">
        <v>287</v>
      </c>
      <c r="B100" t="s">
        <v>288</v>
      </c>
      <c r="C100" t="s">
        <v>87</v>
      </c>
    </row>
    <row r="101" spans="1:3" x14ac:dyDescent="0.3">
      <c r="A101" t="s">
        <v>289</v>
      </c>
      <c r="B101" t="s">
        <v>290</v>
      </c>
      <c r="C101" t="s">
        <v>90</v>
      </c>
    </row>
    <row r="102" spans="1:3" x14ac:dyDescent="0.3">
      <c r="A102" t="s">
        <v>291</v>
      </c>
      <c r="B102" t="s">
        <v>292</v>
      </c>
      <c r="C102" t="s">
        <v>116</v>
      </c>
    </row>
    <row r="103" spans="1:3" x14ac:dyDescent="0.3">
      <c r="A103" t="s">
        <v>293</v>
      </c>
      <c r="B103" t="s">
        <v>294</v>
      </c>
      <c r="C103" t="s">
        <v>87</v>
      </c>
    </row>
    <row r="104" spans="1:3" x14ac:dyDescent="0.3">
      <c r="A104" t="s">
        <v>295</v>
      </c>
      <c r="B104" t="s">
        <v>296</v>
      </c>
      <c r="C104" t="s">
        <v>90</v>
      </c>
    </row>
    <row r="105" spans="1:3" x14ac:dyDescent="0.3">
      <c r="A105" t="s">
        <v>297</v>
      </c>
      <c r="B105" t="s">
        <v>298</v>
      </c>
      <c r="C105" t="s">
        <v>87</v>
      </c>
    </row>
    <row r="106" spans="1:3" x14ac:dyDescent="0.3">
      <c r="A106" t="s">
        <v>299</v>
      </c>
      <c r="B106" t="s">
        <v>300</v>
      </c>
      <c r="C106" t="s">
        <v>87</v>
      </c>
    </row>
    <row r="107" spans="1:3" x14ac:dyDescent="0.3">
      <c r="A107" t="s">
        <v>301</v>
      </c>
      <c r="B107" t="s">
        <v>302</v>
      </c>
      <c r="C107" t="s">
        <v>116</v>
      </c>
    </row>
    <row r="108" spans="1:3" x14ac:dyDescent="0.3">
      <c r="A108" t="s">
        <v>303</v>
      </c>
      <c r="B108" t="s">
        <v>304</v>
      </c>
      <c r="C108" t="s">
        <v>105</v>
      </c>
    </row>
    <row r="109" spans="1:3" x14ac:dyDescent="0.3">
      <c r="A109" t="s">
        <v>305</v>
      </c>
      <c r="B109" t="s">
        <v>306</v>
      </c>
      <c r="C109" t="s">
        <v>90</v>
      </c>
    </row>
    <row r="110" spans="1:3" x14ac:dyDescent="0.3">
      <c r="A110" t="s">
        <v>307</v>
      </c>
      <c r="B110" t="s">
        <v>308</v>
      </c>
      <c r="C110" t="s">
        <v>87</v>
      </c>
    </row>
    <row r="111" spans="1:3" x14ac:dyDescent="0.3">
      <c r="A111" t="s">
        <v>309</v>
      </c>
      <c r="B111" t="s">
        <v>310</v>
      </c>
      <c r="C111" t="s">
        <v>105</v>
      </c>
    </row>
    <row r="112" spans="1:3" x14ac:dyDescent="0.3">
      <c r="A112" t="s">
        <v>311</v>
      </c>
      <c r="B112" t="s">
        <v>312</v>
      </c>
      <c r="C112" t="s">
        <v>105</v>
      </c>
    </row>
    <row r="113" spans="1:3" x14ac:dyDescent="0.3">
      <c r="A113" t="s">
        <v>313</v>
      </c>
      <c r="B113" t="s">
        <v>314</v>
      </c>
      <c r="C113" t="s">
        <v>87</v>
      </c>
    </row>
    <row r="114" spans="1:3" x14ac:dyDescent="0.3">
      <c r="A114" t="s">
        <v>315</v>
      </c>
      <c r="B114" t="s">
        <v>316</v>
      </c>
      <c r="C114" t="s">
        <v>90</v>
      </c>
    </row>
    <row r="115" spans="1:3" x14ac:dyDescent="0.3">
      <c r="A115" t="s">
        <v>317</v>
      </c>
      <c r="B115" t="s">
        <v>318</v>
      </c>
      <c r="C115" t="s">
        <v>87</v>
      </c>
    </row>
    <row r="116" spans="1:3" x14ac:dyDescent="0.3">
      <c r="A116" t="s">
        <v>319</v>
      </c>
      <c r="B116" t="s">
        <v>320</v>
      </c>
      <c r="C116" t="s">
        <v>100</v>
      </c>
    </row>
    <row r="117" spans="1:3" x14ac:dyDescent="0.3">
      <c r="A117" t="s">
        <v>321</v>
      </c>
      <c r="B117" t="s">
        <v>322</v>
      </c>
      <c r="C117" t="s">
        <v>116</v>
      </c>
    </row>
    <row r="118" spans="1:3" x14ac:dyDescent="0.3">
      <c r="A118" t="s">
        <v>323</v>
      </c>
      <c r="B118" t="s">
        <v>324</v>
      </c>
      <c r="C118" t="s">
        <v>90</v>
      </c>
    </row>
    <row r="119" spans="1:3" x14ac:dyDescent="0.3">
      <c r="A119" t="s">
        <v>325</v>
      </c>
      <c r="B119" t="s">
        <v>326</v>
      </c>
      <c r="C119" t="s">
        <v>116</v>
      </c>
    </row>
    <row r="120" spans="1:3" x14ac:dyDescent="0.3">
      <c r="A120" t="s">
        <v>327</v>
      </c>
      <c r="B120" t="s">
        <v>328</v>
      </c>
      <c r="C120" t="s">
        <v>90</v>
      </c>
    </row>
    <row r="121" spans="1:3" x14ac:dyDescent="0.3">
      <c r="A121" t="s">
        <v>329</v>
      </c>
      <c r="B121" t="s">
        <v>330</v>
      </c>
      <c r="C121" t="s">
        <v>116</v>
      </c>
    </row>
    <row r="122" spans="1:3" x14ac:dyDescent="0.3">
      <c r="A122" t="s">
        <v>331</v>
      </c>
      <c r="B122" t="s">
        <v>332</v>
      </c>
      <c r="C122" t="s">
        <v>105</v>
      </c>
    </row>
    <row r="123" spans="1:3" x14ac:dyDescent="0.3">
      <c r="A123" t="s">
        <v>333</v>
      </c>
      <c r="B123" t="s">
        <v>334</v>
      </c>
      <c r="C123" t="s">
        <v>90</v>
      </c>
    </row>
    <row r="124" spans="1:3" x14ac:dyDescent="0.3">
      <c r="A124" t="s">
        <v>335</v>
      </c>
      <c r="B124" t="s">
        <v>336</v>
      </c>
      <c r="C124" t="s">
        <v>87</v>
      </c>
    </row>
    <row r="125" spans="1:3" x14ac:dyDescent="0.3">
      <c r="A125" t="s">
        <v>337</v>
      </c>
      <c r="B125" t="s">
        <v>338</v>
      </c>
      <c r="C125" t="s">
        <v>90</v>
      </c>
    </row>
    <row r="126" spans="1:3" x14ac:dyDescent="0.3">
      <c r="A126" t="s">
        <v>339</v>
      </c>
      <c r="B126" t="s">
        <v>340</v>
      </c>
      <c r="C126" t="s">
        <v>116</v>
      </c>
    </row>
    <row r="127" spans="1:3" x14ac:dyDescent="0.3">
      <c r="A127" t="s">
        <v>341</v>
      </c>
      <c r="B127" t="s">
        <v>342</v>
      </c>
      <c r="C127" t="s">
        <v>116</v>
      </c>
    </row>
    <row r="128" spans="1:3" x14ac:dyDescent="0.3">
      <c r="A128" t="s">
        <v>343</v>
      </c>
      <c r="B128" t="s">
        <v>344</v>
      </c>
      <c r="C128" t="s">
        <v>116</v>
      </c>
    </row>
    <row r="129" spans="1:3" x14ac:dyDescent="0.3">
      <c r="A129" t="s">
        <v>345</v>
      </c>
      <c r="B129" t="s">
        <v>346</v>
      </c>
      <c r="C129" t="s">
        <v>90</v>
      </c>
    </row>
    <row r="130" spans="1:3" x14ac:dyDescent="0.3">
      <c r="A130" t="s">
        <v>347</v>
      </c>
      <c r="B130" t="s">
        <v>348</v>
      </c>
      <c r="C130" t="s">
        <v>90</v>
      </c>
    </row>
    <row r="131" spans="1:3" x14ac:dyDescent="0.3">
      <c r="A131" t="s">
        <v>349</v>
      </c>
      <c r="B131" t="s">
        <v>350</v>
      </c>
      <c r="C131" t="s">
        <v>116</v>
      </c>
    </row>
    <row r="132" spans="1:3" x14ac:dyDescent="0.3">
      <c r="A132" t="s">
        <v>351</v>
      </c>
      <c r="B132" t="s">
        <v>352</v>
      </c>
      <c r="C132" t="s">
        <v>116</v>
      </c>
    </row>
    <row r="133" spans="1:3" x14ac:dyDescent="0.3">
      <c r="A133" t="s">
        <v>353</v>
      </c>
      <c r="B133" t="s">
        <v>354</v>
      </c>
      <c r="C133" t="s">
        <v>87</v>
      </c>
    </row>
    <row r="134" spans="1:3" x14ac:dyDescent="0.3">
      <c r="A134" t="s">
        <v>355</v>
      </c>
      <c r="B134" t="s">
        <v>356</v>
      </c>
      <c r="C134" t="s">
        <v>105</v>
      </c>
    </row>
    <row r="135" spans="1:3" x14ac:dyDescent="0.3">
      <c r="A135" t="s">
        <v>357</v>
      </c>
      <c r="B135" t="s">
        <v>358</v>
      </c>
      <c r="C135" t="s">
        <v>90</v>
      </c>
    </row>
    <row r="136" spans="1:3" x14ac:dyDescent="0.3">
      <c r="A136" t="s">
        <v>359</v>
      </c>
      <c r="B136" t="s">
        <v>360</v>
      </c>
      <c r="C136" t="s">
        <v>95</v>
      </c>
    </row>
    <row r="137" spans="1:3" x14ac:dyDescent="0.3">
      <c r="A137" t="s">
        <v>361</v>
      </c>
      <c r="B137" t="s">
        <v>362</v>
      </c>
      <c r="C137" t="s">
        <v>87</v>
      </c>
    </row>
    <row r="138" spans="1:3" x14ac:dyDescent="0.3">
      <c r="A138" t="s">
        <v>363</v>
      </c>
      <c r="B138" t="s">
        <v>364</v>
      </c>
      <c r="C138" t="s">
        <v>116</v>
      </c>
    </row>
    <row r="139" spans="1:3" x14ac:dyDescent="0.3">
      <c r="A139" t="s">
        <v>365</v>
      </c>
      <c r="B139" t="s">
        <v>366</v>
      </c>
      <c r="C139" t="s">
        <v>116</v>
      </c>
    </row>
    <row r="140" spans="1:3" x14ac:dyDescent="0.3">
      <c r="A140" t="s">
        <v>367</v>
      </c>
      <c r="B140" t="s">
        <v>368</v>
      </c>
      <c r="C140" t="s">
        <v>87</v>
      </c>
    </row>
    <row r="141" spans="1:3" x14ac:dyDescent="0.3">
      <c r="A141" t="s">
        <v>369</v>
      </c>
      <c r="B141" t="s">
        <v>370</v>
      </c>
      <c r="C141" t="s">
        <v>105</v>
      </c>
    </row>
    <row r="142" spans="1:3" x14ac:dyDescent="0.3">
      <c r="A142" t="s">
        <v>371</v>
      </c>
      <c r="B142" t="s">
        <v>372</v>
      </c>
      <c r="C142" t="s">
        <v>116</v>
      </c>
    </row>
    <row r="143" spans="1:3" x14ac:dyDescent="0.3">
      <c r="A143" t="s">
        <v>373</v>
      </c>
      <c r="B143" t="s">
        <v>374</v>
      </c>
      <c r="C143" t="s">
        <v>87</v>
      </c>
    </row>
    <row r="144" spans="1:3" x14ac:dyDescent="0.3">
      <c r="A144" t="s">
        <v>375</v>
      </c>
      <c r="B144" t="s">
        <v>376</v>
      </c>
      <c r="C144" t="s">
        <v>90</v>
      </c>
    </row>
    <row r="145" spans="1:3" x14ac:dyDescent="0.3">
      <c r="A145" t="s">
        <v>377</v>
      </c>
      <c r="B145" t="s">
        <v>378</v>
      </c>
      <c r="C145" t="s">
        <v>116</v>
      </c>
    </row>
    <row r="146" spans="1:3" x14ac:dyDescent="0.3">
      <c r="A146" t="s">
        <v>379</v>
      </c>
      <c r="B146" t="s">
        <v>380</v>
      </c>
      <c r="C146" t="s">
        <v>116</v>
      </c>
    </row>
    <row r="147" spans="1:3" x14ac:dyDescent="0.3">
      <c r="A147" t="s">
        <v>381</v>
      </c>
      <c r="B147" t="s">
        <v>382</v>
      </c>
      <c r="C147" t="s">
        <v>116</v>
      </c>
    </row>
    <row r="148" spans="1:3" x14ac:dyDescent="0.3">
      <c r="A148" t="s">
        <v>383</v>
      </c>
      <c r="B148" t="s">
        <v>384</v>
      </c>
      <c r="C148" t="s">
        <v>116</v>
      </c>
    </row>
    <row r="149" spans="1:3" x14ac:dyDescent="0.3">
      <c r="A149" t="s">
        <v>385</v>
      </c>
      <c r="B149" t="s">
        <v>386</v>
      </c>
      <c r="C149" t="s">
        <v>87</v>
      </c>
    </row>
    <row r="150" spans="1:3" x14ac:dyDescent="0.3">
      <c r="A150" t="s">
        <v>387</v>
      </c>
      <c r="B150" t="s">
        <v>388</v>
      </c>
      <c r="C150" t="s">
        <v>116</v>
      </c>
    </row>
    <row r="151" spans="1:3" x14ac:dyDescent="0.3">
      <c r="A151" t="s">
        <v>389</v>
      </c>
      <c r="B151" t="s">
        <v>390</v>
      </c>
      <c r="C151" t="s">
        <v>87</v>
      </c>
    </row>
    <row r="152" spans="1:3" x14ac:dyDescent="0.3">
      <c r="A152" t="s">
        <v>391</v>
      </c>
      <c r="B152" t="s">
        <v>392</v>
      </c>
      <c r="C152" t="s">
        <v>95</v>
      </c>
    </row>
    <row r="153" spans="1:3" x14ac:dyDescent="0.3">
      <c r="A153" t="s">
        <v>393</v>
      </c>
      <c r="B153" t="s">
        <v>394</v>
      </c>
      <c r="C153" t="s">
        <v>95</v>
      </c>
    </row>
    <row r="154" spans="1:3" x14ac:dyDescent="0.3">
      <c r="A154" t="s">
        <v>395</v>
      </c>
      <c r="B154" t="s">
        <v>396</v>
      </c>
      <c r="C154" t="s">
        <v>116</v>
      </c>
    </row>
    <row r="155" spans="1:3" x14ac:dyDescent="0.3">
      <c r="A155" t="s">
        <v>397</v>
      </c>
      <c r="B155" t="s">
        <v>398</v>
      </c>
      <c r="C155" t="s">
        <v>87</v>
      </c>
    </row>
    <row r="156" spans="1:3" x14ac:dyDescent="0.3">
      <c r="A156" t="s">
        <v>399</v>
      </c>
      <c r="B156" t="s">
        <v>400</v>
      </c>
      <c r="C156" t="s">
        <v>87</v>
      </c>
    </row>
    <row r="157" spans="1:3" x14ac:dyDescent="0.3">
      <c r="A157" t="s">
        <v>401</v>
      </c>
      <c r="B157" t="s">
        <v>402</v>
      </c>
      <c r="C157" t="s">
        <v>100</v>
      </c>
    </row>
    <row r="158" spans="1:3" x14ac:dyDescent="0.3">
      <c r="A158" t="s">
        <v>403</v>
      </c>
      <c r="B158" t="s">
        <v>404</v>
      </c>
      <c r="C158" t="s">
        <v>116</v>
      </c>
    </row>
    <row r="159" spans="1:3" x14ac:dyDescent="0.3">
      <c r="A159" t="s">
        <v>405</v>
      </c>
      <c r="B159" t="s">
        <v>406</v>
      </c>
      <c r="C159" t="s">
        <v>116</v>
      </c>
    </row>
    <row r="160" spans="1:3" x14ac:dyDescent="0.3">
      <c r="A160" t="s">
        <v>407</v>
      </c>
      <c r="B160" t="s">
        <v>408</v>
      </c>
      <c r="C160" t="s">
        <v>90</v>
      </c>
    </row>
    <row r="161" spans="1:3" x14ac:dyDescent="0.3">
      <c r="A161" t="s">
        <v>409</v>
      </c>
      <c r="B161" t="s">
        <v>410</v>
      </c>
      <c r="C161" t="s">
        <v>116</v>
      </c>
    </row>
    <row r="162" spans="1:3" x14ac:dyDescent="0.3">
      <c r="A162" t="s">
        <v>411</v>
      </c>
      <c r="B162" t="s">
        <v>412</v>
      </c>
      <c r="C162" t="s">
        <v>100</v>
      </c>
    </row>
    <row r="163" spans="1:3" x14ac:dyDescent="0.3">
      <c r="A163" t="s">
        <v>413</v>
      </c>
      <c r="B163" t="s">
        <v>414</v>
      </c>
      <c r="C163" t="s">
        <v>105</v>
      </c>
    </row>
    <row r="164" spans="1:3" x14ac:dyDescent="0.3">
      <c r="A164" t="s">
        <v>415</v>
      </c>
      <c r="B164" t="s">
        <v>416</v>
      </c>
      <c r="C164" t="s">
        <v>87</v>
      </c>
    </row>
    <row r="165" spans="1:3" x14ac:dyDescent="0.3">
      <c r="A165" t="s">
        <v>417</v>
      </c>
      <c r="B165" t="s">
        <v>418</v>
      </c>
      <c r="C165" t="s">
        <v>87</v>
      </c>
    </row>
    <row r="166" spans="1:3" x14ac:dyDescent="0.3">
      <c r="A166" t="s">
        <v>419</v>
      </c>
      <c r="B166" t="s">
        <v>420</v>
      </c>
      <c r="C166" t="s">
        <v>90</v>
      </c>
    </row>
    <row r="167" spans="1:3" x14ac:dyDescent="0.3">
      <c r="A167" t="s">
        <v>421</v>
      </c>
      <c r="B167" t="s">
        <v>422</v>
      </c>
      <c r="C167" t="s">
        <v>87</v>
      </c>
    </row>
    <row r="168" spans="1:3" x14ac:dyDescent="0.3">
      <c r="A168" t="s">
        <v>423</v>
      </c>
      <c r="B168" t="s">
        <v>424</v>
      </c>
      <c r="C168" t="s">
        <v>116</v>
      </c>
    </row>
    <row r="169" spans="1:3" x14ac:dyDescent="0.3">
      <c r="A169" t="s">
        <v>425</v>
      </c>
      <c r="B169" t="s">
        <v>426</v>
      </c>
      <c r="C169" t="s">
        <v>116</v>
      </c>
    </row>
    <row r="170" spans="1:3" x14ac:dyDescent="0.3">
      <c r="A170" t="s">
        <v>427</v>
      </c>
      <c r="B170" t="s">
        <v>428</v>
      </c>
      <c r="C170" t="s">
        <v>87</v>
      </c>
    </row>
    <row r="171" spans="1:3" x14ac:dyDescent="0.3">
      <c r="A171" t="s">
        <v>429</v>
      </c>
      <c r="B171" t="s">
        <v>430</v>
      </c>
      <c r="C171" t="s">
        <v>116</v>
      </c>
    </row>
    <row r="172" spans="1:3" x14ac:dyDescent="0.3">
      <c r="A172" t="s">
        <v>431</v>
      </c>
      <c r="B172" t="s">
        <v>432</v>
      </c>
      <c r="C172" t="s">
        <v>116</v>
      </c>
    </row>
    <row r="173" spans="1:3" x14ac:dyDescent="0.3">
      <c r="A173" t="s">
        <v>433</v>
      </c>
      <c r="B173" t="s">
        <v>434</v>
      </c>
      <c r="C173" t="s">
        <v>87</v>
      </c>
    </row>
    <row r="174" spans="1:3" x14ac:dyDescent="0.3">
      <c r="A174" t="s">
        <v>435</v>
      </c>
      <c r="B174" t="s">
        <v>436</v>
      </c>
      <c r="C174" t="s">
        <v>100</v>
      </c>
    </row>
    <row r="175" spans="1:3" x14ac:dyDescent="0.3">
      <c r="A175" t="s">
        <v>437</v>
      </c>
      <c r="B175" t="s">
        <v>438</v>
      </c>
      <c r="C175" t="s">
        <v>116</v>
      </c>
    </row>
    <row r="176" spans="1:3" x14ac:dyDescent="0.3">
      <c r="A176" t="s">
        <v>439</v>
      </c>
      <c r="B176" t="s">
        <v>440</v>
      </c>
      <c r="C176" t="s">
        <v>105</v>
      </c>
    </row>
    <row r="177" spans="1:3" x14ac:dyDescent="0.3">
      <c r="A177" t="s">
        <v>441</v>
      </c>
      <c r="B177" t="s">
        <v>442</v>
      </c>
      <c r="C177" t="s">
        <v>105</v>
      </c>
    </row>
    <row r="178" spans="1:3" x14ac:dyDescent="0.3">
      <c r="A178" t="s">
        <v>443</v>
      </c>
      <c r="B178" t="s">
        <v>444</v>
      </c>
      <c r="C178" t="s">
        <v>95</v>
      </c>
    </row>
    <row r="179" spans="1:3" x14ac:dyDescent="0.3">
      <c r="A179" t="s">
        <v>445</v>
      </c>
      <c r="B179" t="s">
        <v>446</v>
      </c>
      <c r="C179" t="s">
        <v>87</v>
      </c>
    </row>
    <row r="180" spans="1:3" x14ac:dyDescent="0.3">
      <c r="A180" t="s">
        <v>447</v>
      </c>
      <c r="B180" t="s">
        <v>448</v>
      </c>
      <c r="C180" t="s">
        <v>95</v>
      </c>
    </row>
    <row r="181" spans="1:3" x14ac:dyDescent="0.3">
      <c r="A181" t="s">
        <v>449</v>
      </c>
      <c r="B181" t="s">
        <v>450</v>
      </c>
      <c r="C181" t="s">
        <v>105</v>
      </c>
    </row>
    <row r="182" spans="1:3" x14ac:dyDescent="0.3">
      <c r="A182" t="s">
        <v>451</v>
      </c>
      <c r="B182" t="s">
        <v>452</v>
      </c>
      <c r="C182" t="s">
        <v>95</v>
      </c>
    </row>
    <row r="183" spans="1:3" x14ac:dyDescent="0.3">
      <c r="A183" t="s">
        <v>453</v>
      </c>
      <c r="B183" t="s">
        <v>454</v>
      </c>
      <c r="C183" t="s">
        <v>100</v>
      </c>
    </row>
    <row r="184" spans="1:3" x14ac:dyDescent="0.3">
      <c r="A184" t="s">
        <v>455</v>
      </c>
      <c r="B184" t="s">
        <v>456</v>
      </c>
      <c r="C184" t="s">
        <v>87</v>
      </c>
    </row>
    <row r="185" spans="1:3" x14ac:dyDescent="0.3">
      <c r="A185" t="s">
        <v>457</v>
      </c>
      <c r="B185" t="s">
        <v>458</v>
      </c>
      <c r="C185" t="s">
        <v>116</v>
      </c>
    </row>
    <row r="186" spans="1:3" x14ac:dyDescent="0.3">
      <c r="A186" t="s">
        <v>459</v>
      </c>
      <c r="B186" t="s">
        <v>460</v>
      </c>
      <c r="C186" t="s">
        <v>87</v>
      </c>
    </row>
    <row r="187" spans="1:3" x14ac:dyDescent="0.3">
      <c r="A187" t="s">
        <v>461</v>
      </c>
      <c r="B187" t="s">
        <v>462</v>
      </c>
      <c r="C187" t="s">
        <v>100</v>
      </c>
    </row>
    <row r="188" spans="1:3" x14ac:dyDescent="0.3">
      <c r="A188" t="s">
        <v>463</v>
      </c>
      <c r="B188" t="s">
        <v>464</v>
      </c>
      <c r="C188" t="s">
        <v>100</v>
      </c>
    </row>
    <row r="189" spans="1:3" x14ac:dyDescent="0.3">
      <c r="A189" t="s">
        <v>465</v>
      </c>
      <c r="B189" t="s">
        <v>466</v>
      </c>
      <c r="C189" t="s">
        <v>105</v>
      </c>
    </row>
    <row r="190" spans="1:3" x14ac:dyDescent="0.3">
      <c r="A190" t="s">
        <v>467</v>
      </c>
      <c r="B190" t="s">
        <v>468</v>
      </c>
      <c r="C190" t="s">
        <v>95</v>
      </c>
    </row>
    <row r="191" spans="1:3" x14ac:dyDescent="0.3">
      <c r="A191" t="s">
        <v>469</v>
      </c>
      <c r="B191" t="s">
        <v>470</v>
      </c>
      <c r="C191" t="s">
        <v>105</v>
      </c>
    </row>
    <row r="192" spans="1:3" x14ac:dyDescent="0.3">
      <c r="A192" t="s">
        <v>471</v>
      </c>
      <c r="B192" t="s">
        <v>472</v>
      </c>
      <c r="C192" t="s">
        <v>116</v>
      </c>
    </row>
    <row r="193" spans="1:3" x14ac:dyDescent="0.3">
      <c r="A193" t="s">
        <v>473</v>
      </c>
      <c r="B193" t="s">
        <v>402</v>
      </c>
      <c r="C193" t="s">
        <v>100</v>
      </c>
    </row>
    <row r="194" spans="1:3" x14ac:dyDescent="0.3">
      <c r="A194" t="s">
        <v>474</v>
      </c>
      <c r="B194" t="s">
        <v>475</v>
      </c>
      <c r="C194" t="s">
        <v>105</v>
      </c>
    </row>
    <row r="195" spans="1:3" x14ac:dyDescent="0.3">
      <c r="A195" t="s">
        <v>476</v>
      </c>
      <c r="B195" t="s">
        <v>477</v>
      </c>
      <c r="C195" t="s">
        <v>90</v>
      </c>
    </row>
    <row r="196" spans="1:3" x14ac:dyDescent="0.3">
      <c r="A196" t="s">
        <v>478</v>
      </c>
      <c r="B196" t="s">
        <v>479</v>
      </c>
      <c r="C196" t="s">
        <v>87</v>
      </c>
    </row>
    <row r="197" spans="1:3" x14ac:dyDescent="0.3">
      <c r="A197" t="s">
        <v>480</v>
      </c>
      <c r="B197" t="s">
        <v>481</v>
      </c>
      <c r="C197" t="s">
        <v>116</v>
      </c>
    </row>
    <row r="198" spans="1:3" x14ac:dyDescent="0.3">
      <c r="A198" t="s">
        <v>482</v>
      </c>
      <c r="B198" t="s">
        <v>483</v>
      </c>
      <c r="C198" t="s">
        <v>116</v>
      </c>
    </row>
    <row r="199" spans="1:3" x14ac:dyDescent="0.3">
      <c r="A199" t="s">
        <v>484</v>
      </c>
      <c r="B199" t="s">
        <v>485</v>
      </c>
      <c r="C199" t="s">
        <v>105</v>
      </c>
    </row>
    <row r="200" spans="1:3" x14ac:dyDescent="0.3">
      <c r="A200" t="s">
        <v>486</v>
      </c>
      <c r="B200" t="s">
        <v>487</v>
      </c>
      <c r="C200" t="s">
        <v>100</v>
      </c>
    </row>
    <row r="201" spans="1:3" x14ac:dyDescent="0.3">
      <c r="A201" t="s">
        <v>488</v>
      </c>
      <c r="B201" t="s">
        <v>489</v>
      </c>
      <c r="C201" t="s">
        <v>87</v>
      </c>
    </row>
    <row r="202" spans="1:3" x14ac:dyDescent="0.3">
      <c r="A202" t="s">
        <v>490</v>
      </c>
      <c r="B202" t="s">
        <v>491</v>
      </c>
      <c r="C202" t="s">
        <v>116</v>
      </c>
    </row>
    <row r="203" spans="1:3" x14ac:dyDescent="0.3">
      <c r="A203" t="s">
        <v>492</v>
      </c>
      <c r="B203" t="s">
        <v>493</v>
      </c>
      <c r="C203" t="s">
        <v>116</v>
      </c>
    </row>
    <row r="204" spans="1:3" x14ac:dyDescent="0.3">
      <c r="A204" t="s">
        <v>494</v>
      </c>
      <c r="B204" t="s">
        <v>495</v>
      </c>
      <c r="C204" t="s">
        <v>105</v>
      </c>
    </row>
    <row r="205" spans="1:3" x14ac:dyDescent="0.3">
      <c r="A205" t="s">
        <v>496</v>
      </c>
      <c r="B205" t="s">
        <v>497</v>
      </c>
      <c r="C205" t="s">
        <v>90</v>
      </c>
    </row>
    <row r="206" spans="1:3" x14ac:dyDescent="0.3">
      <c r="A206" t="s">
        <v>498</v>
      </c>
      <c r="B206" t="s">
        <v>499</v>
      </c>
      <c r="C206" t="s">
        <v>90</v>
      </c>
    </row>
    <row r="207" spans="1:3" x14ac:dyDescent="0.3">
      <c r="A207" t="s">
        <v>500</v>
      </c>
      <c r="B207" t="s">
        <v>501</v>
      </c>
      <c r="C207" t="s">
        <v>87</v>
      </c>
    </row>
    <row r="208" spans="1:3" x14ac:dyDescent="0.3">
      <c r="A208" t="s">
        <v>502</v>
      </c>
      <c r="B208" t="s">
        <v>503</v>
      </c>
      <c r="C208" t="s">
        <v>87</v>
      </c>
    </row>
    <row r="209" spans="1:3" x14ac:dyDescent="0.3">
      <c r="A209" t="s">
        <v>504</v>
      </c>
      <c r="B209" t="s">
        <v>505</v>
      </c>
      <c r="C209" t="s">
        <v>105</v>
      </c>
    </row>
    <row r="210" spans="1:3" x14ac:dyDescent="0.3">
      <c r="A210" t="s">
        <v>506</v>
      </c>
      <c r="B210" t="s">
        <v>507</v>
      </c>
      <c r="C210" t="s">
        <v>100</v>
      </c>
    </row>
    <row r="211" spans="1:3" x14ac:dyDescent="0.3">
      <c r="A211" t="s">
        <v>508</v>
      </c>
      <c r="B211" t="s">
        <v>509</v>
      </c>
      <c r="C211" t="s">
        <v>90</v>
      </c>
    </row>
    <row r="212" spans="1:3" x14ac:dyDescent="0.3">
      <c r="A212" t="s">
        <v>510</v>
      </c>
      <c r="B212" t="s">
        <v>511</v>
      </c>
      <c r="C212" t="s">
        <v>116</v>
      </c>
    </row>
    <row r="213" spans="1:3" x14ac:dyDescent="0.3">
      <c r="A213" t="s">
        <v>512</v>
      </c>
      <c r="B213" t="s">
        <v>513</v>
      </c>
      <c r="C213" t="s">
        <v>87</v>
      </c>
    </row>
    <row r="214" spans="1:3" x14ac:dyDescent="0.3">
      <c r="A214" t="s">
        <v>514</v>
      </c>
      <c r="B214" t="s">
        <v>515</v>
      </c>
      <c r="C214" t="s">
        <v>87</v>
      </c>
    </row>
    <row r="215" spans="1:3" x14ac:dyDescent="0.3">
      <c r="A215" t="s">
        <v>516</v>
      </c>
      <c r="B215" t="s">
        <v>517</v>
      </c>
      <c r="C215" t="s">
        <v>90</v>
      </c>
    </row>
    <row r="216" spans="1:3" x14ac:dyDescent="0.3">
      <c r="A216" t="s">
        <v>518</v>
      </c>
      <c r="B216" t="s">
        <v>519</v>
      </c>
      <c r="C216" t="s">
        <v>100</v>
      </c>
    </row>
    <row r="217" spans="1:3" x14ac:dyDescent="0.3">
      <c r="A217" t="s">
        <v>520</v>
      </c>
      <c r="B217" t="s">
        <v>521</v>
      </c>
      <c r="C217" t="s">
        <v>100</v>
      </c>
    </row>
    <row r="218" spans="1:3" x14ac:dyDescent="0.3">
      <c r="A218" t="s">
        <v>522</v>
      </c>
      <c r="B218" t="s">
        <v>523</v>
      </c>
      <c r="C218" t="s">
        <v>90</v>
      </c>
    </row>
    <row r="219" spans="1:3" x14ac:dyDescent="0.3">
      <c r="A219" t="s">
        <v>524</v>
      </c>
      <c r="B219" t="s">
        <v>525</v>
      </c>
      <c r="C219" t="s">
        <v>87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47600-E305-4019-BE32-3E964173064A}">
  <dimension ref="A1:R218"/>
  <sheetViews>
    <sheetView tabSelected="1" zoomScale="46" zoomScaleNormal="70" workbookViewId="0">
      <selection activeCell="D51" sqref="D51"/>
    </sheetView>
  </sheetViews>
  <sheetFormatPr defaultRowHeight="15.6" x14ac:dyDescent="0.3"/>
  <cols>
    <col min="1" max="1" width="10.69921875" customWidth="1"/>
    <col min="2" max="2" width="72.296875" customWidth="1"/>
    <col min="3" max="3" width="17.5" customWidth="1"/>
    <col min="5" max="5" width="31.5" bestFit="1" customWidth="1"/>
    <col min="6" max="6" width="26.796875" bestFit="1" customWidth="1"/>
    <col min="7" max="7" width="22.8984375" customWidth="1"/>
    <col min="10" max="10" width="11.69921875" bestFit="1" customWidth="1"/>
    <col min="11" max="11" width="20" customWidth="1"/>
    <col min="12" max="12" width="18.5" bestFit="1" customWidth="1"/>
    <col min="13" max="13" width="20.5" bestFit="1" customWidth="1"/>
    <col min="14" max="14" width="45.19921875" customWidth="1"/>
    <col min="15" max="16" width="28" bestFit="1" customWidth="1"/>
    <col min="17" max="17" width="26" bestFit="1" customWidth="1"/>
    <col min="18" max="18" width="20" bestFit="1" customWidth="1"/>
  </cols>
  <sheetData>
    <row r="1" spans="1:18" ht="16.2" thickBot="1" x14ac:dyDescent="0.35">
      <c r="A1" s="2" t="s">
        <v>544</v>
      </c>
      <c r="B1" s="2"/>
      <c r="C1" s="2"/>
      <c r="J1" t="s">
        <v>4</v>
      </c>
      <c r="K1" t="s">
        <v>6</v>
      </c>
      <c r="L1" s="18" t="s">
        <v>526</v>
      </c>
      <c r="M1" s="18" t="s">
        <v>527</v>
      </c>
      <c r="N1" t="s">
        <v>8</v>
      </c>
      <c r="O1" s="18" t="s">
        <v>28</v>
      </c>
      <c r="P1" t="s">
        <v>10</v>
      </c>
      <c r="Q1" t="s">
        <v>12</v>
      </c>
      <c r="R1" t="s">
        <v>14</v>
      </c>
    </row>
    <row r="2" spans="1:18" ht="16.2" thickBot="1" x14ac:dyDescent="0.35">
      <c r="A2" s="2"/>
      <c r="B2" s="2"/>
      <c r="C2" s="2"/>
      <c r="J2" t="s">
        <v>261</v>
      </c>
      <c r="K2" t="s">
        <v>84</v>
      </c>
      <c r="L2" t="str">
        <f>_xlfn.XLOOKUP(K2, plant_info[plant], plant_info[maintenance-requirements])</f>
        <v>low-maintenance</v>
      </c>
      <c r="M2" t="str">
        <f>_xlfn.XLOOKUP(responses[[#This Row],[plant_types]], plant_info[plant], plant_info[toxic])</f>
        <v>safe for pets &amp; children</v>
      </c>
      <c r="N2" t="s">
        <v>262</v>
      </c>
      <c r="O2" t="str">
        <f>_xlfn.XLOOKUP(J2, reason[survey_id], reason[reason_for_purchase])</f>
        <v>care requirements</v>
      </c>
      <c r="P2" t="s">
        <v>528</v>
      </c>
      <c r="Q2" t="s">
        <v>529</v>
      </c>
      <c r="R2" t="s">
        <v>530</v>
      </c>
    </row>
    <row r="3" spans="1:18" ht="16.2" thickBot="1" x14ac:dyDescent="0.35">
      <c r="A3" s="2"/>
      <c r="B3" s="2"/>
      <c r="C3" s="2"/>
      <c r="J3" t="s">
        <v>255</v>
      </c>
      <c r="K3" t="s">
        <v>55</v>
      </c>
      <c r="L3" t="str">
        <f>_xlfn.XLOOKUP(K3, plant_info[plant], plant_info[maintenance-requirements])</f>
        <v>low-maintenance</v>
      </c>
      <c r="M3" t="str">
        <f>_xlfn.XLOOKUP(responses[[#This Row],[plant_types]], plant_info[plant], plant_info[toxic])</f>
        <v>safe for pets &amp; children</v>
      </c>
      <c r="N3" t="s">
        <v>256</v>
      </c>
      <c r="O3" t="str">
        <f>_xlfn.XLOOKUP(J3, reason[survey_id], reason[reason_for_purchase])</f>
        <v>benefits</v>
      </c>
      <c r="P3" t="s">
        <v>531</v>
      </c>
      <c r="Q3" t="s">
        <v>529</v>
      </c>
      <c r="R3" t="s">
        <v>532</v>
      </c>
    </row>
    <row r="4" spans="1:18" ht="16.2" thickBot="1" x14ac:dyDescent="0.35">
      <c r="A4" s="19" t="s">
        <v>545</v>
      </c>
      <c r="B4" s="19"/>
      <c r="C4" s="19"/>
      <c r="J4" t="s">
        <v>217</v>
      </c>
      <c r="K4" t="s">
        <v>35</v>
      </c>
      <c r="L4" t="str">
        <f>_xlfn.XLOOKUP(K4, plant_info[plant], plant_info[maintenance-requirements])</f>
        <v>low-maintenance</v>
      </c>
      <c r="M4" t="str">
        <f>_xlfn.XLOOKUP(responses[[#This Row],[plant_types]], plant_info[plant], plant_info[toxic])</f>
        <v>safe for pets &amp; children</v>
      </c>
      <c r="N4" t="s">
        <v>218</v>
      </c>
      <c r="O4" t="str">
        <f>_xlfn.XLOOKUP(J4, reason[survey_id], reason[reason_for_purchase])</f>
        <v>pet-friendly or safe for children</v>
      </c>
      <c r="P4" t="s">
        <v>533</v>
      </c>
      <c r="Q4" t="s">
        <v>534</v>
      </c>
      <c r="R4" t="s">
        <v>530</v>
      </c>
    </row>
    <row r="5" spans="1:18" ht="16.2" thickBot="1" x14ac:dyDescent="0.35">
      <c r="A5" s="19"/>
      <c r="B5" s="19"/>
      <c r="C5" s="19"/>
      <c r="J5" t="s">
        <v>371</v>
      </c>
      <c r="K5" t="s">
        <v>56</v>
      </c>
      <c r="L5" t="str">
        <f>_xlfn.XLOOKUP(K5, plant_info[plant], plant_info[maintenance-requirements])</f>
        <v>med-maintenance</v>
      </c>
      <c r="M5" t="str">
        <f>_xlfn.XLOOKUP(responses[[#This Row],[plant_types]], plant_info[plant], plant_info[toxic])</f>
        <v>safe for pets &amp; children</v>
      </c>
      <c r="N5" t="s">
        <v>372</v>
      </c>
      <c r="O5" t="str">
        <f>_xlfn.XLOOKUP(J5, reason[survey_id], reason[reason_for_purchase])</f>
        <v>care requirements</v>
      </c>
      <c r="P5" t="s">
        <v>528</v>
      </c>
      <c r="Q5" t="s">
        <v>529</v>
      </c>
      <c r="R5" t="s">
        <v>535</v>
      </c>
    </row>
    <row r="6" spans="1:18" ht="16.2" thickBot="1" x14ac:dyDescent="0.35">
      <c r="A6" s="21" t="s">
        <v>546</v>
      </c>
      <c r="B6" s="20" t="s">
        <v>547</v>
      </c>
      <c r="C6" s="20"/>
      <c r="J6" t="s">
        <v>419</v>
      </c>
      <c r="K6" t="s">
        <v>46</v>
      </c>
      <c r="L6" t="str">
        <f>_xlfn.XLOOKUP(K6, plant_info[plant], plant_info[maintenance-requirements])</f>
        <v>med-maintenance</v>
      </c>
      <c r="M6" t="str">
        <f>_xlfn.XLOOKUP(responses[[#This Row],[plant_types]], plant_info[plant], plant_info[toxic])</f>
        <v>safe for pets &amp; children</v>
      </c>
      <c r="N6" t="s">
        <v>420</v>
      </c>
      <c r="O6" t="str">
        <f>_xlfn.XLOOKUP(J6, reason[survey_id], reason[reason_for_purchase])</f>
        <v>benefits</v>
      </c>
      <c r="P6" t="s">
        <v>533</v>
      </c>
      <c r="Q6" t="s">
        <v>536</v>
      </c>
      <c r="R6" t="s">
        <v>537</v>
      </c>
    </row>
    <row r="7" spans="1:18" ht="16.2" thickBot="1" x14ac:dyDescent="0.35">
      <c r="A7" s="21" t="s">
        <v>548</v>
      </c>
      <c r="B7" s="20" t="s">
        <v>549</v>
      </c>
      <c r="C7" s="20"/>
      <c r="J7" t="s">
        <v>365</v>
      </c>
      <c r="K7" t="s">
        <v>78</v>
      </c>
      <c r="L7" t="str">
        <f>_xlfn.XLOOKUP(K7, plant_info[plant], plant_info[maintenance-requirements])</f>
        <v>low-maintenance</v>
      </c>
      <c r="M7" t="str">
        <f>_xlfn.XLOOKUP(responses[[#This Row],[plant_types]], plant_info[plant], plant_info[toxic])</f>
        <v>safe for pets &amp; children</v>
      </c>
      <c r="N7" t="s">
        <v>366</v>
      </c>
      <c r="O7" t="str">
        <f>_xlfn.XLOOKUP(J7, reason[survey_id], reason[reason_for_purchase])</f>
        <v>care requirements</v>
      </c>
      <c r="P7" t="s">
        <v>538</v>
      </c>
      <c r="Q7" t="s">
        <v>529</v>
      </c>
      <c r="R7" t="s">
        <v>530</v>
      </c>
    </row>
    <row r="8" spans="1:18" ht="16.2" thickBot="1" x14ac:dyDescent="0.35">
      <c r="A8" s="21" t="s">
        <v>550</v>
      </c>
      <c r="B8" s="20" t="s">
        <v>551</v>
      </c>
      <c r="C8" s="20"/>
      <c r="J8" t="s">
        <v>199</v>
      </c>
      <c r="K8" t="s">
        <v>58</v>
      </c>
      <c r="L8" t="str">
        <f>_xlfn.XLOOKUP(K8, plant_info[plant], plant_info[maintenance-requirements])</f>
        <v>med-maintenance</v>
      </c>
      <c r="M8" t="str">
        <f>_xlfn.XLOOKUP(responses[[#This Row],[plant_types]], plant_info[plant], plant_info[toxic])</f>
        <v>safe for pets &amp; children</v>
      </c>
      <c r="N8" t="s">
        <v>200</v>
      </c>
      <c r="O8" t="str">
        <f>_xlfn.XLOOKUP(J8, reason[survey_id], reason[reason_for_purchase])</f>
        <v>care requirements</v>
      </c>
      <c r="P8" t="s">
        <v>531</v>
      </c>
      <c r="Q8" t="s">
        <v>539</v>
      </c>
      <c r="R8" t="s">
        <v>532</v>
      </c>
    </row>
    <row r="9" spans="1:18" ht="16.2" thickBot="1" x14ac:dyDescent="0.35">
      <c r="J9" t="s">
        <v>401</v>
      </c>
      <c r="K9" t="s">
        <v>84</v>
      </c>
      <c r="L9" t="str">
        <f>_xlfn.XLOOKUP(K9, plant_info[plant], plant_info[maintenance-requirements])</f>
        <v>low-maintenance</v>
      </c>
      <c r="M9" t="str">
        <f>_xlfn.XLOOKUP(responses[[#This Row],[plant_types]], plant_info[plant], plant_info[toxic])</f>
        <v>safe for pets &amp; children</v>
      </c>
      <c r="N9" t="s">
        <v>402</v>
      </c>
      <c r="O9" t="str">
        <f>_xlfn.XLOOKUP(J9, reason[survey_id], reason[reason_for_purchase])</f>
        <v>size</v>
      </c>
      <c r="P9" t="s">
        <v>538</v>
      </c>
      <c r="Q9" t="s">
        <v>536</v>
      </c>
      <c r="R9" t="s">
        <v>540</v>
      </c>
    </row>
    <row r="10" spans="1:18" ht="18.600000000000001" thickBot="1" x14ac:dyDescent="0.4">
      <c r="A10" s="22" t="s">
        <v>552</v>
      </c>
      <c r="B10" s="22"/>
      <c r="C10" s="22"/>
      <c r="J10" t="s">
        <v>319</v>
      </c>
      <c r="K10" t="s">
        <v>84</v>
      </c>
      <c r="L10" t="str">
        <f>_xlfn.XLOOKUP(K10, plant_info[plant], plant_info[maintenance-requirements])</f>
        <v>low-maintenance</v>
      </c>
      <c r="M10" t="str">
        <f>_xlfn.XLOOKUP(responses[[#This Row],[plant_types]], plant_info[plant], plant_info[toxic])</f>
        <v>safe for pets &amp; children</v>
      </c>
      <c r="N10" t="s">
        <v>320</v>
      </c>
      <c r="O10" t="str">
        <f>_xlfn.XLOOKUP(J10, reason[survey_id], reason[reason_for_purchase])</f>
        <v>size</v>
      </c>
      <c r="P10" t="s">
        <v>531</v>
      </c>
      <c r="Q10" t="s">
        <v>539</v>
      </c>
      <c r="R10" t="s">
        <v>535</v>
      </c>
    </row>
    <row r="11" spans="1:18" ht="16.2" thickBot="1" x14ac:dyDescent="0.35">
      <c r="A11" s="23" t="s">
        <v>553</v>
      </c>
      <c r="B11" s="23"/>
      <c r="C11" s="23"/>
      <c r="J11" t="s">
        <v>303</v>
      </c>
      <c r="K11" t="s">
        <v>68</v>
      </c>
      <c r="L11" t="str">
        <f>_xlfn.XLOOKUP(K11, plant_info[plant], plant_info[maintenance-requirements])</f>
        <v>low-maintenance</v>
      </c>
      <c r="M11" t="str">
        <f>_xlfn.XLOOKUP(responses[[#This Row],[plant_types]], plant_info[plant], plant_info[toxic])</f>
        <v>safe for pets &amp; children</v>
      </c>
      <c r="N11" t="s">
        <v>304</v>
      </c>
      <c r="O11" t="str">
        <f>_xlfn.XLOOKUP(J11, reason[survey_id], reason[reason_for_purchase])</f>
        <v>rare or unique species</v>
      </c>
      <c r="P11" t="s">
        <v>538</v>
      </c>
      <c r="Q11" t="s">
        <v>541</v>
      </c>
      <c r="R11" t="s">
        <v>537</v>
      </c>
    </row>
    <row r="12" spans="1:18" ht="16.2" thickBot="1" x14ac:dyDescent="0.35">
      <c r="A12" s="23"/>
      <c r="B12" s="23"/>
      <c r="C12" s="23"/>
      <c r="J12" t="s">
        <v>313</v>
      </c>
      <c r="K12" t="s">
        <v>84</v>
      </c>
      <c r="L12" t="str">
        <f>_xlfn.XLOOKUP(K12, plant_info[plant], plant_info[maintenance-requirements])</f>
        <v>low-maintenance</v>
      </c>
      <c r="M12" t="str">
        <f>_xlfn.XLOOKUP(responses[[#This Row],[plant_types]], plant_info[plant], plant_info[toxic])</f>
        <v>safe for pets &amp; children</v>
      </c>
      <c r="N12" t="s">
        <v>314</v>
      </c>
      <c r="O12" t="str">
        <f>_xlfn.XLOOKUP(J12, reason[survey_id], reason[reason_for_purchase])</f>
        <v>pet-friendly or safe for children</v>
      </c>
      <c r="P12" t="s">
        <v>528</v>
      </c>
      <c r="Q12" t="s">
        <v>534</v>
      </c>
      <c r="R12" t="s">
        <v>537</v>
      </c>
    </row>
    <row r="13" spans="1:18" ht="16.2" thickBot="1" x14ac:dyDescent="0.35">
      <c r="A13" s="24" t="s">
        <v>554</v>
      </c>
      <c r="B13" s="23" t="s">
        <v>555</v>
      </c>
      <c r="C13" s="23"/>
      <c r="J13" t="s">
        <v>85</v>
      </c>
      <c r="K13" t="s">
        <v>78</v>
      </c>
      <c r="L13" t="str">
        <f>_xlfn.XLOOKUP(K13, plant_info[plant], plant_info[maintenance-requirements])</f>
        <v>low-maintenance</v>
      </c>
      <c r="M13" t="str">
        <f>_xlfn.XLOOKUP(responses[[#This Row],[plant_types]], plant_info[plant], plant_info[toxic])</f>
        <v>safe for pets &amp; children</v>
      </c>
      <c r="N13" t="s">
        <v>86</v>
      </c>
      <c r="O13" t="str">
        <f>_xlfn.XLOOKUP(J13, reason[survey_id], reason[reason_for_purchase])</f>
        <v>pet-friendly or safe for children</v>
      </c>
      <c r="P13" t="s">
        <v>531</v>
      </c>
      <c r="Q13" t="s">
        <v>534</v>
      </c>
      <c r="R13" t="s">
        <v>532</v>
      </c>
    </row>
    <row r="14" spans="1:18" ht="16.2" thickBot="1" x14ac:dyDescent="0.35">
      <c r="A14" s="24"/>
      <c r="B14" s="23"/>
      <c r="C14" s="23"/>
      <c r="J14" t="s">
        <v>195</v>
      </c>
      <c r="K14" t="s">
        <v>35</v>
      </c>
      <c r="L14" t="str">
        <f>_xlfn.XLOOKUP(K14, plant_info[plant], plant_info[maintenance-requirements])</f>
        <v>low-maintenance</v>
      </c>
      <c r="M14" t="str">
        <f>_xlfn.XLOOKUP(responses[[#This Row],[plant_types]], plant_info[plant], plant_info[toxic])</f>
        <v>safe for pets &amp; children</v>
      </c>
      <c r="N14" t="s">
        <v>196</v>
      </c>
      <c r="O14" t="str">
        <f>_xlfn.XLOOKUP(J14, reason[survey_id], reason[reason_for_purchase])</f>
        <v>care requirements</v>
      </c>
      <c r="P14" t="s">
        <v>531</v>
      </c>
      <c r="Q14" t="s">
        <v>529</v>
      </c>
      <c r="R14" t="s">
        <v>530</v>
      </c>
    </row>
    <row r="15" spans="1:18" ht="16.2" thickBot="1" x14ac:dyDescent="0.35">
      <c r="A15" s="24"/>
      <c r="B15" s="23"/>
      <c r="C15" s="23"/>
      <c r="J15" t="s">
        <v>321</v>
      </c>
      <c r="K15" t="s">
        <v>35</v>
      </c>
      <c r="L15" t="str">
        <f>_xlfn.XLOOKUP(K15, plant_info[plant], plant_info[maintenance-requirements])</f>
        <v>low-maintenance</v>
      </c>
      <c r="M15" t="str">
        <f>_xlfn.XLOOKUP(responses[[#This Row],[plant_types]], plant_info[plant], plant_info[toxic])</f>
        <v>safe for pets &amp; children</v>
      </c>
      <c r="N15" t="s">
        <v>322</v>
      </c>
      <c r="O15" t="str">
        <f>_xlfn.XLOOKUP(J15, reason[survey_id], reason[reason_for_purchase])</f>
        <v>care requirements</v>
      </c>
      <c r="P15" t="s">
        <v>528</v>
      </c>
      <c r="Q15" t="s">
        <v>536</v>
      </c>
      <c r="R15" t="s">
        <v>535</v>
      </c>
    </row>
    <row r="16" spans="1:18" ht="16.2" thickBot="1" x14ac:dyDescent="0.35">
      <c r="A16" s="24" t="s">
        <v>556</v>
      </c>
      <c r="B16" s="23" t="s">
        <v>557</v>
      </c>
      <c r="C16" s="23"/>
      <c r="J16" t="s">
        <v>383</v>
      </c>
      <c r="K16" t="s">
        <v>70</v>
      </c>
      <c r="L16" t="str">
        <f>_xlfn.XLOOKUP(K16, plant_info[plant], plant_info[maintenance-requirements])</f>
        <v>low-maintenance</v>
      </c>
      <c r="M16" t="str">
        <f>_xlfn.XLOOKUP(responses[[#This Row],[plant_types]], plant_info[plant], plant_info[toxic])</f>
        <v>safe for pets &amp; children</v>
      </c>
      <c r="N16" t="s">
        <v>384</v>
      </c>
      <c r="O16" t="str">
        <f>_xlfn.XLOOKUP(J16, reason[survey_id], reason[reason_for_purchase])</f>
        <v>care requirements</v>
      </c>
      <c r="P16" t="s">
        <v>528</v>
      </c>
      <c r="Q16" t="s">
        <v>534</v>
      </c>
      <c r="R16" t="s">
        <v>540</v>
      </c>
    </row>
    <row r="17" spans="1:18" ht="16.2" thickBot="1" x14ac:dyDescent="0.35">
      <c r="A17" s="24"/>
      <c r="B17" s="23"/>
      <c r="C17" s="23"/>
      <c r="J17" t="s">
        <v>187</v>
      </c>
      <c r="K17" t="s">
        <v>43</v>
      </c>
      <c r="L17" t="str">
        <f>_xlfn.XLOOKUP(K17, plant_info[plant], plant_info[maintenance-requirements])</f>
        <v>low-maintenance</v>
      </c>
      <c r="M17" t="str">
        <f>_xlfn.XLOOKUP(responses[[#This Row],[plant_types]], plant_info[plant], plant_info[toxic])</f>
        <v>safe for pets &amp; children</v>
      </c>
      <c r="N17" t="s">
        <v>188</v>
      </c>
      <c r="O17" t="str">
        <f>_xlfn.XLOOKUP(J17, reason[survey_id], reason[reason_for_purchase])</f>
        <v>benefits</v>
      </c>
      <c r="P17" t="s">
        <v>531</v>
      </c>
      <c r="Q17" t="s">
        <v>534</v>
      </c>
      <c r="R17" t="s">
        <v>530</v>
      </c>
    </row>
    <row r="18" spans="1:18" ht="16.2" thickBot="1" x14ac:dyDescent="0.35">
      <c r="A18" s="24"/>
      <c r="B18" s="23"/>
      <c r="C18" s="23"/>
      <c r="J18" t="s">
        <v>498</v>
      </c>
      <c r="K18" t="s">
        <v>71</v>
      </c>
      <c r="L18" t="str">
        <f>_xlfn.XLOOKUP(K18, plant_info[plant], plant_info[maintenance-requirements])</f>
        <v>med-maintenance</v>
      </c>
      <c r="M18" t="str">
        <f>_xlfn.XLOOKUP(responses[[#This Row],[plant_types]], plant_info[plant], plant_info[toxic])</f>
        <v>safe for pets &amp; children</v>
      </c>
      <c r="N18" t="s">
        <v>499</v>
      </c>
      <c r="O18" t="str">
        <f>_xlfn.XLOOKUP(J18, reason[survey_id], reason[reason_for_purchase])</f>
        <v>benefits</v>
      </c>
      <c r="P18" t="s">
        <v>531</v>
      </c>
      <c r="Q18" t="s">
        <v>536</v>
      </c>
      <c r="R18" t="s">
        <v>532</v>
      </c>
    </row>
    <row r="19" spans="1:18" ht="16.2" thickBot="1" x14ac:dyDescent="0.35">
      <c r="A19" s="24" t="s">
        <v>558</v>
      </c>
      <c r="B19" s="23" t="s">
        <v>559</v>
      </c>
      <c r="C19" s="23"/>
      <c r="E19" s="31" t="s">
        <v>572</v>
      </c>
      <c r="F19" s="31"/>
      <c r="G19" s="31"/>
      <c r="J19" t="s">
        <v>235</v>
      </c>
      <c r="K19" t="s">
        <v>55</v>
      </c>
      <c r="L19" t="str">
        <f>_xlfn.XLOOKUP(K19, plant_info[plant], plant_info[maintenance-requirements])</f>
        <v>low-maintenance</v>
      </c>
      <c r="M19" t="str">
        <f>_xlfn.XLOOKUP(responses[[#This Row],[plant_types]], plant_info[plant], plant_info[toxic])</f>
        <v>safe for pets &amp; children</v>
      </c>
      <c r="N19" t="s">
        <v>236</v>
      </c>
      <c r="O19" t="str">
        <f>_xlfn.XLOOKUP(J19, reason[survey_id], reason[reason_for_purchase])</f>
        <v>benefits</v>
      </c>
      <c r="P19" t="s">
        <v>533</v>
      </c>
      <c r="Q19" t="s">
        <v>534</v>
      </c>
      <c r="R19" t="s">
        <v>535</v>
      </c>
    </row>
    <row r="20" spans="1:18" ht="16.2" thickBot="1" x14ac:dyDescent="0.35">
      <c r="A20" s="24"/>
      <c r="B20" s="23"/>
      <c r="C20" s="23"/>
      <c r="E20" s="34" t="s">
        <v>573</v>
      </c>
      <c r="F20" s="34" t="s">
        <v>574</v>
      </c>
      <c r="G20" t="s">
        <v>575</v>
      </c>
      <c r="J20" t="s">
        <v>273</v>
      </c>
      <c r="K20" t="s">
        <v>68</v>
      </c>
      <c r="L20" t="str">
        <f>_xlfn.XLOOKUP(K20, plant_info[plant], plant_info[maintenance-requirements])</f>
        <v>low-maintenance</v>
      </c>
      <c r="M20" t="str">
        <f>_xlfn.XLOOKUP(responses[[#This Row],[plant_types]], plant_info[plant], plant_info[toxic])</f>
        <v>safe for pets &amp; children</v>
      </c>
      <c r="N20" t="s">
        <v>274</v>
      </c>
      <c r="O20" t="str">
        <f>_xlfn.XLOOKUP(J20, reason[survey_id], reason[reason_for_purchase])</f>
        <v>benefits</v>
      </c>
      <c r="P20" t="s">
        <v>531</v>
      </c>
      <c r="Q20" t="s">
        <v>536</v>
      </c>
      <c r="R20" t="s">
        <v>537</v>
      </c>
    </row>
    <row r="21" spans="1:18" ht="16.2" thickBot="1" x14ac:dyDescent="0.35">
      <c r="A21" s="29" t="s">
        <v>560</v>
      </c>
      <c r="B21" s="25" t="s">
        <v>561</v>
      </c>
      <c r="C21" s="43" t="s">
        <v>38</v>
      </c>
      <c r="E21" s="32" t="s">
        <v>33</v>
      </c>
      <c r="F21">
        <v>11</v>
      </c>
      <c r="G21" s="33">
        <v>5.0691244239631339E-2</v>
      </c>
      <c r="J21" t="s">
        <v>425</v>
      </c>
      <c r="K21" t="s">
        <v>43</v>
      </c>
      <c r="L21" t="str">
        <f>_xlfn.XLOOKUP(K21, plant_info[plant], plant_info[maintenance-requirements])</f>
        <v>low-maintenance</v>
      </c>
      <c r="M21" t="str">
        <f>_xlfn.XLOOKUP(responses[[#This Row],[plant_types]], plant_info[plant], plant_info[toxic])</f>
        <v>safe for pets &amp; children</v>
      </c>
      <c r="N21" t="s">
        <v>426</v>
      </c>
      <c r="O21" t="str">
        <f>_xlfn.XLOOKUP(J21, reason[survey_id], reason[reason_for_purchase])</f>
        <v>care requirements</v>
      </c>
      <c r="P21" t="s">
        <v>531</v>
      </c>
      <c r="Q21" t="s">
        <v>534</v>
      </c>
      <c r="R21" t="s">
        <v>532</v>
      </c>
    </row>
    <row r="22" spans="1:18" ht="16.2" thickBot="1" x14ac:dyDescent="0.35">
      <c r="A22" s="24" t="s">
        <v>562</v>
      </c>
      <c r="B22" s="23" t="s">
        <v>563</v>
      </c>
      <c r="C22" s="27">
        <v>0.79259999999999997</v>
      </c>
      <c r="E22" s="32" t="s">
        <v>38</v>
      </c>
      <c r="F22">
        <v>172</v>
      </c>
      <c r="G22" s="33">
        <v>0.79262672811059909</v>
      </c>
      <c r="J22" t="s">
        <v>504</v>
      </c>
      <c r="K22" t="s">
        <v>35</v>
      </c>
      <c r="L22" t="str">
        <f>_xlfn.XLOOKUP(K22, plant_info[plant], plant_info[maintenance-requirements])</f>
        <v>low-maintenance</v>
      </c>
      <c r="M22" t="str">
        <f>_xlfn.XLOOKUP(responses[[#This Row],[plant_types]], plant_info[plant], plant_info[toxic])</f>
        <v>safe for pets &amp; children</v>
      </c>
      <c r="N22" t="s">
        <v>505</v>
      </c>
      <c r="O22" t="str">
        <f>_xlfn.XLOOKUP(J22, reason[survey_id], reason[reason_for_purchase])</f>
        <v>rare or unique species</v>
      </c>
      <c r="P22" t="s">
        <v>528</v>
      </c>
      <c r="Q22" t="s">
        <v>529</v>
      </c>
      <c r="R22" t="s">
        <v>532</v>
      </c>
    </row>
    <row r="23" spans="1:18" ht="16.2" thickBot="1" x14ac:dyDescent="0.35">
      <c r="A23" s="24"/>
      <c r="B23" s="23"/>
      <c r="C23" s="26"/>
      <c r="E23" s="32" t="s">
        <v>40</v>
      </c>
      <c r="F23">
        <v>34</v>
      </c>
      <c r="G23" s="33">
        <v>0.15668202764976957</v>
      </c>
      <c r="J23" t="s">
        <v>287</v>
      </c>
      <c r="K23" t="s">
        <v>49</v>
      </c>
      <c r="L23" t="str">
        <f>_xlfn.XLOOKUP(K23, plant_info[plant], plant_info[maintenance-requirements])</f>
        <v>high-maintenance</v>
      </c>
      <c r="M23" t="str">
        <f>_xlfn.XLOOKUP(responses[[#This Row],[plant_types]], plant_info[plant], plant_info[toxic])</f>
        <v>safe for pets &amp; children</v>
      </c>
      <c r="N23" t="s">
        <v>288</v>
      </c>
      <c r="O23" t="str">
        <f>_xlfn.XLOOKUP(J23, reason[survey_id], reason[reason_for_purchase])</f>
        <v>pet-friendly or safe for children</v>
      </c>
      <c r="P23" t="s">
        <v>531</v>
      </c>
      <c r="Q23" t="s">
        <v>534</v>
      </c>
      <c r="R23" t="s">
        <v>532</v>
      </c>
    </row>
    <row r="24" spans="1:18" ht="16.2" thickBot="1" x14ac:dyDescent="0.35">
      <c r="A24" s="24" t="s">
        <v>564</v>
      </c>
      <c r="B24" s="23" t="s">
        <v>565</v>
      </c>
      <c r="C24" s="28">
        <v>0.99539999999999995</v>
      </c>
      <c r="E24" s="32" t="s">
        <v>576</v>
      </c>
      <c r="F24">
        <v>217</v>
      </c>
      <c r="G24" s="33">
        <v>1</v>
      </c>
      <c r="J24" t="s">
        <v>161</v>
      </c>
      <c r="K24" t="s">
        <v>68</v>
      </c>
      <c r="L24" t="str">
        <f>_xlfn.XLOOKUP(K24, plant_info[plant], plant_info[maintenance-requirements])</f>
        <v>low-maintenance</v>
      </c>
      <c r="M24" t="str">
        <f>_xlfn.XLOOKUP(responses[[#This Row],[plant_types]], plant_info[plant], plant_info[toxic])</f>
        <v>safe for pets &amp; children</v>
      </c>
      <c r="N24" t="s">
        <v>162</v>
      </c>
      <c r="O24" t="str">
        <f>_xlfn.XLOOKUP(J24, reason[survey_id], reason[reason_for_purchase])</f>
        <v>care requirements</v>
      </c>
      <c r="P24" t="s">
        <v>531</v>
      </c>
      <c r="Q24" t="s">
        <v>536</v>
      </c>
      <c r="R24" t="s">
        <v>537</v>
      </c>
    </row>
    <row r="25" spans="1:18" ht="16.2" thickBot="1" x14ac:dyDescent="0.35">
      <c r="A25" s="24"/>
      <c r="B25" s="23"/>
      <c r="C25" s="28"/>
      <c r="J25" t="s">
        <v>435</v>
      </c>
      <c r="K25" t="s">
        <v>55</v>
      </c>
      <c r="L25" t="str">
        <f>_xlfn.XLOOKUP(K25, plant_info[plant], plant_info[maintenance-requirements])</f>
        <v>low-maintenance</v>
      </c>
      <c r="M25" t="str">
        <f>_xlfn.XLOOKUP(responses[[#This Row],[plant_types]], plant_info[plant], plant_info[toxic])</f>
        <v>safe for pets &amp; children</v>
      </c>
      <c r="N25" t="s">
        <v>436</v>
      </c>
      <c r="O25" t="str">
        <f>_xlfn.XLOOKUP(J25, reason[survey_id], reason[reason_for_purchase])</f>
        <v>size</v>
      </c>
      <c r="P25" t="s">
        <v>533</v>
      </c>
      <c r="Q25" t="s">
        <v>534</v>
      </c>
      <c r="R25" t="s">
        <v>532</v>
      </c>
    </row>
    <row r="26" spans="1:18" ht="16.2" thickBot="1" x14ac:dyDescent="0.35">
      <c r="E26" s="34" t="s">
        <v>573</v>
      </c>
      <c r="F26" t="s">
        <v>577</v>
      </c>
      <c r="J26" t="s">
        <v>110</v>
      </c>
      <c r="K26" t="s">
        <v>35</v>
      </c>
      <c r="L26" t="str">
        <f>_xlfn.XLOOKUP(K26, plant_info[plant], plant_info[maintenance-requirements])</f>
        <v>low-maintenance</v>
      </c>
      <c r="M26" t="str">
        <f>_xlfn.XLOOKUP(responses[[#This Row],[plant_types]], plant_info[plant], plant_info[toxic])</f>
        <v>safe for pets &amp; children</v>
      </c>
      <c r="N26" t="s">
        <v>111</v>
      </c>
      <c r="O26" t="str">
        <f>_xlfn.XLOOKUP(J26, reason[survey_id], reason[reason_for_purchase])</f>
        <v>benefits</v>
      </c>
      <c r="P26" t="s">
        <v>538</v>
      </c>
      <c r="Q26" t="s">
        <v>536</v>
      </c>
      <c r="R26" t="s">
        <v>535</v>
      </c>
    </row>
    <row r="27" spans="1:18" ht="18.600000000000001" thickBot="1" x14ac:dyDescent="0.4">
      <c r="A27" s="22" t="s">
        <v>566</v>
      </c>
      <c r="B27" s="22"/>
      <c r="C27" s="22"/>
      <c r="E27" s="32" t="s">
        <v>34</v>
      </c>
      <c r="F27" s="33">
        <v>0.99539170506912444</v>
      </c>
      <c r="J27" t="s">
        <v>431</v>
      </c>
      <c r="K27" t="s">
        <v>78</v>
      </c>
      <c r="L27" t="str">
        <f>_xlfn.XLOOKUP(K27, plant_info[plant], plant_info[maintenance-requirements])</f>
        <v>low-maintenance</v>
      </c>
      <c r="M27" t="str">
        <f>_xlfn.XLOOKUP(responses[[#This Row],[plant_types]], plant_info[plant], plant_info[toxic])</f>
        <v>safe for pets &amp; children</v>
      </c>
      <c r="N27" t="s">
        <v>432</v>
      </c>
      <c r="O27" t="str">
        <f>_xlfn.XLOOKUP(J27, reason[survey_id], reason[reason_for_purchase])</f>
        <v>care requirements</v>
      </c>
      <c r="P27" t="s">
        <v>528</v>
      </c>
      <c r="Q27" t="s">
        <v>534</v>
      </c>
      <c r="R27" t="s">
        <v>537</v>
      </c>
    </row>
    <row r="28" spans="1:18" ht="16.2" thickBot="1" x14ac:dyDescent="0.35">
      <c r="A28" s="23" t="s">
        <v>567</v>
      </c>
      <c r="B28" s="23"/>
      <c r="C28" s="23"/>
      <c r="E28" s="32" t="s">
        <v>25</v>
      </c>
      <c r="F28" s="33">
        <v>4.608294930875576E-3</v>
      </c>
      <c r="J28" t="s">
        <v>265</v>
      </c>
      <c r="K28" t="s">
        <v>84</v>
      </c>
      <c r="L28" t="str">
        <f>_xlfn.XLOOKUP(K28, plant_info[plant], plant_info[maintenance-requirements])</f>
        <v>low-maintenance</v>
      </c>
      <c r="M28" t="str">
        <f>_xlfn.XLOOKUP(responses[[#This Row],[plant_types]], plant_info[plant], plant_info[toxic])</f>
        <v>safe for pets &amp; children</v>
      </c>
      <c r="N28" t="s">
        <v>266</v>
      </c>
      <c r="O28" t="str">
        <f>_xlfn.XLOOKUP(J28, reason[survey_id], reason[reason_for_purchase])</f>
        <v>care requirements</v>
      </c>
      <c r="P28" t="s">
        <v>528</v>
      </c>
      <c r="Q28" t="s">
        <v>534</v>
      </c>
      <c r="R28" t="s">
        <v>530</v>
      </c>
    </row>
    <row r="29" spans="1:18" ht="16.2" thickBot="1" x14ac:dyDescent="0.35">
      <c r="A29" s="23"/>
      <c r="B29" s="23"/>
      <c r="C29" s="23"/>
      <c r="E29" s="32" t="s">
        <v>576</v>
      </c>
      <c r="F29" s="33">
        <v>1</v>
      </c>
      <c r="J29" t="s">
        <v>203</v>
      </c>
      <c r="K29" t="s">
        <v>72</v>
      </c>
      <c r="L29" t="str">
        <f>_xlfn.XLOOKUP(K29, plant_info[plant], plant_info[maintenance-requirements])</f>
        <v>low-maintenance</v>
      </c>
      <c r="M29" t="str">
        <f>_xlfn.XLOOKUP(responses[[#This Row],[plant_types]], plant_info[plant], plant_info[toxic])</f>
        <v>safe for pets &amp; children</v>
      </c>
      <c r="N29" t="s">
        <v>204</v>
      </c>
      <c r="O29" t="str">
        <f>_xlfn.XLOOKUP(J29, reason[survey_id], reason[reason_for_purchase])</f>
        <v>size</v>
      </c>
      <c r="P29" t="s">
        <v>533</v>
      </c>
      <c r="Q29" t="s">
        <v>536</v>
      </c>
      <c r="R29" t="s">
        <v>532</v>
      </c>
    </row>
    <row r="30" spans="1:18" ht="16.2" thickBot="1" x14ac:dyDescent="0.35">
      <c r="A30" s="23"/>
      <c r="B30" s="23"/>
      <c r="C30" s="23"/>
      <c r="J30" t="s">
        <v>357</v>
      </c>
      <c r="K30" t="s">
        <v>55</v>
      </c>
      <c r="L30" t="str">
        <f>_xlfn.XLOOKUP(K30, plant_info[plant], plant_info[maintenance-requirements])</f>
        <v>low-maintenance</v>
      </c>
      <c r="M30" t="str">
        <f>_xlfn.XLOOKUP(responses[[#This Row],[plant_types]], plant_info[plant], plant_info[toxic])</f>
        <v>safe for pets &amp; children</v>
      </c>
      <c r="N30" t="s">
        <v>358</v>
      </c>
      <c r="O30" t="str">
        <f>_xlfn.XLOOKUP(J30, reason[survey_id], reason[reason_for_purchase])</f>
        <v>benefits</v>
      </c>
      <c r="P30" t="s">
        <v>528</v>
      </c>
      <c r="Q30" t="s">
        <v>536</v>
      </c>
      <c r="R30" t="s">
        <v>532</v>
      </c>
    </row>
    <row r="31" spans="1:18" ht="16.2" thickBot="1" x14ac:dyDescent="0.35">
      <c r="A31" s="24" t="s">
        <v>554</v>
      </c>
      <c r="B31" s="23" t="s">
        <v>568</v>
      </c>
      <c r="C31" s="23"/>
      <c r="J31" t="s">
        <v>279</v>
      </c>
      <c r="K31" t="s">
        <v>72</v>
      </c>
      <c r="L31" t="str">
        <f>_xlfn.XLOOKUP(K31, plant_info[plant], plant_info[maintenance-requirements])</f>
        <v>low-maintenance</v>
      </c>
      <c r="M31" t="str">
        <f>_xlfn.XLOOKUP(responses[[#This Row],[plant_types]], plant_info[plant], plant_info[toxic])</f>
        <v>safe for pets &amp; children</v>
      </c>
      <c r="N31" t="s">
        <v>280</v>
      </c>
      <c r="O31" t="str">
        <f>_xlfn.XLOOKUP(J31, reason[survey_id], reason[reason_for_purchase])</f>
        <v>pet-friendly or safe for children</v>
      </c>
      <c r="P31" t="s">
        <v>528</v>
      </c>
      <c r="Q31" t="s">
        <v>539</v>
      </c>
      <c r="R31" t="s">
        <v>532</v>
      </c>
    </row>
    <row r="32" spans="1:18" ht="16.2" thickBot="1" x14ac:dyDescent="0.35">
      <c r="A32" s="24"/>
      <c r="B32" s="23"/>
      <c r="C32" s="23"/>
      <c r="E32" s="34" t="s">
        <v>573</v>
      </c>
      <c r="F32" s="34" t="s">
        <v>578</v>
      </c>
      <c r="G32" t="s">
        <v>579</v>
      </c>
      <c r="J32" t="s">
        <v>317</v>
      </c>
      <c r="K32" t="s">
        <v>78</v>
      </c>
      <c r="L32" t="str">
        <f>_xlfn.XLOOKUP(K32, plant_info[plant], plant_info[maintenance-requirements])</f>
        <v>low-maintenance</v>
      </c>
      <c r="M32" t="str">
        <f>_xlfn.XLOOKUP(responses[[#This Row],[plant_types]], plant_info[plant], plant_info[toxic])</f>
        <v>safe for pets &amp; children</v>
      </c>
      <c r="N32" t="s">
        <v>318</v>
      </c>
      <c r="O32" t="str">
        <f>_xlfn.XLOOKUP(J32, reason[survey_id], reason[reason_for_purchase])</f>
        <v>pet-friendly or safe for children</v>
      </c>
      <c r="P32" t="s">
        <v>528</v>
      </c>
      <c r="Q32" t="s">
        <v>529</v>
      </c>
      <c r="R32" t="s">
        <v>540</v>
      </c>
    </row>
    <row r="33" spans="1:18" ht="16.2" thickBot="1" x14ac:dyDescent="0.35">
      <c r="A33" s="24"/>
      <c r="B33" s="23"/>
      <c r="C33" s="23"/>
      <c r="E33" s="32" t="s">
        <v>116</v>
      </c>
      <c r="F33">
        <v>58</v>
      </c>
      <c r="G33" s="33">
        <v>0.26728110599078342</v>
      </c>
      <c r="J33" t="s">
        <v>488</v>
      </c>
      <c r="K33" t="s">
        <v>43</v>
      </c>
      <c r="L33" t="str">
        <f>_xlfn.XLOOKUP(K33, plant_info[plant], plant_info[maintenance-requirements])</f>
        <v>low-maintenance</v>
      </c>
      <c r="M33" t="str">
        <f>_xlfn.XLOOKUP(responses[[#This Row],[plant_types]], plant_info[plant], plant_info[toxic])</f>
        <v>safe for pets &amp; children</v>
      </c>
      <c r="N33" t="s">
        <v>489</v>
      </c>
      <c r="O33" t="str">
        <f>_xlfn.XLOOKUP(J33, reason[survey_id], reason[reason_for_purchase])</f>
        <v>pet-friendly or safe for children</v>
      </c>
      <c r="P33" t="s">
        <v>528</v>
      </c>
      <c r="Q33" t="s">
        <v>534</v>
      </c>
      <c r="R33" t="s">
        <v>540</v>
      </c>
    </row>
    <row r="34" spans="1:18" ht="16.2" thickBot="1" x14ac:dyDescent="0.35">
      <c r="A34" s="24" t="s">
        <v>556</v>
      </c>
      <c r="B34" s="23" t="s">
        <v>569</v>
      </c>
      <c r="C34" s="23"/>
      <c r="E34" s="32" t="s">
        <v>87</v>
      </c>
      <c r="F34">
        <v>56</v>
      </c>
      <c r="G34" s="33">
        <v>0.25806451612903225</v>
      </c>
      <c r="J34" t="s">
        <v>96</v>
      </c>
      <c r="K34" t="s">
        <v>70</v>
      </c>
      <c r="L34" t="str">
        <f>_xlfn.XLOOKUP(K34, plant_info[plant], plant_info[maintenance-requirements])</f>
        <v>low-maintenance</v>
      </c>
      <c r="M34" t="str">
        <f>_xlfn.XLOOKUP(responses[[#This Row],[plant_types]], plant_info[plant], plant_info[toxic])</f>
        <v>safe for pets &amp; children</v>
      </c>
      <c r="N34" t="s">
        <v>97</v>
      </c>
      <c r="O34" t="str">
        <f>_xlfn.XLOOKUP(J34, reason[survey_id], reason[reason_for_purchase])</f>
        <v>benefits</v>
      </c>
      <c r="P34" t="s">
        <v>528</v>
      </c>
      <c r="Q34" t="s">
        <v>534</v>
      </c>
      <c r="R34" t="s">
        <v>540</v>
      </c>
    </row>
    <row r="35" spans="1:18" ht="16.2" thickBot="1" x14ac:dyDescent="0.35">
      <c r="A35" s="24"/>
      <c r="B35" s="23"/>
      <c r="C35" s="23"/>
      <c r="E35" s="32" t="s">
        <v>90</v>
      </c>
      <c r="F35">
        <v>41</v>
      </c>
      <c r="G35" s="33">
        <v>0.1889400921658986</v>
      </c>
      <c r="J35" t="s">
        <v>149</v>
      </c>
      <c r="K35" t="s">
        <v>35</v>
      </c>
      <c r="L35" t="str">
        <f>_xlfn.XLOOKUP(K35, plant_info[plant], plant_info[maintenance-requirements])</f>
        <v>low-maintenance</v>
      </c>
      <c r="M35" t="str">
        <f>_xlfn.XLOOKUP(responses[[#This Row],[plant_types]], plant_info[plant], plant_info[toxic])</f>
        <v>safe for pets &amp; children</v>
      </c>
      <c r="N35" t="s">
        <v>150</v>
      </c>
      <c r="O35" t="str">
        <f>_xlfn.XLOOKUP(J35, reason[survey_id], reason[reason_for_purchase])</f>
        <v>pet-friendly or safe for children</v>
      </c>
      <c r="P35" t="s">
        <v>538</v>
      </c>
      <c r="Q35" t="s">
        <v>541</v>
      </c>
      <c r="R35" t="s">
        <v>535</v>
      </c>
    </row>
    <row r="36" spans="1:18" ht="16.2" thickBot="1" x14ac:dyDescent="0.35">
      <c r="A36" s="24"/>
      <c r="B36" s="23"/>
      <c r="C36" s="23"/>
      <c r="E36" s="32" t="s">
        <v>105</v>
      </c>
      <c r="F36">
        <v>27</v>
      </c>
      <c r="G36" s="33">
        <v>0.12442396313364056</v>
      </c>
      <c r="J36" t="s">
        <v>451</v>
      </c>
      <c r="K36" t="s">
        <v>75</v>
      </c>
      <c r="L36" t="str">
        <f>_xlfn.XLOOKUP(K36, plant_info[plant], plant_info[maintenance-requirements])</f>
        <v>high-maintenance</v>
      </c>
      <c r="M36" t="str">
        <f>_xlfn.XLOOKUP(responses[[#This Row],[plant_types]], plant_info[plant], plant_info[toxic])</f>
        <v>safe for pets &amp; children</v>
      </c>
      <c r="N36" t="s">
        <v>452</v>
      </c>
      <c r="O36" t="str">
        <f>_xlfn.XLOOKUP(J36, reason[survey_id], reason[reason_for_purchase])</f>
        <v>price</v>
      </c>
      <c r="P36" t="s">
        <v>528</v>
      </c>
      <c r="Q36" t="s">
        <v>541</v>
      </c>
      <c r="R36" t="s">
        <v>535</v>
      </c>
    </row>
    <row r="37" spans="1:18" ht="16.2" thickBot="1" x14ac:dyDescent="0.35">
      <c r="A37" s="30" t="s">
        <v>558</v>
      </c>
      <c r="B37" s="23" t="s">
        <v>570</v>
      </c>
      <c r="C37" s="27">
        <v>0.26729999999999998</v>
      </c>
      <c r="E37" s="32" t="s">
        <v>100</v>
      </c>
      <c r="F37">
        <v>24</v>
      </c>
      <c r="G37" s="33">
        <v>0.11059907834101383</v>
      </c>
      <c r="J37" t="s">
        <v>329</v>
      </c>
      <c r="K37" t="s">
        <v>39</v>
      </c>
      <c r="L37" t="str">
        <f>_xlfn.XLOOKUP(K37, plant_info[plant], plant_info[maintenance-requirements])</f>
        <v>med-maintenance</v>
      </c>
      <c r="M37" t="str">
        <f>_xlfn.XLOOKUP(responses[[#This Row],[plant_types]], plant_info[plant], plant_info[toxic])</f>
        <v>safe for pets &amp; children</v>
      </c>
      <c r="N37" t="s">
        <v>330</v>
      </c>
      <c r="O37" t="str">
        <f>_xlfn.XLOOKUP(J37, reason[survey_id], reason[reason_for_purchase])</f>
        <v>care requirements</v>
      </c>
      <c r="P37" t="s">
        <v>528</v>
      </c>
      <c r="Q37" t="s">
        <v>536</v>
      </c>
      <c r="R37" t="s">
        <v>537</v>
      </c>
    </row>
    <row r="38" spans="1:18" ht="16.2" thickBot="1" x14ac:dyDescent="0.35">
      <c r="A38" s="30"/>
      <c r="B38" s="23"/>
      <c r="C38" s="26"/>
      <c r="E38" s="32" t="s">
        <v>95</v>
      </c>
      <c r="F38">
        <v>11</v>
      </c>
      <c r="G38" s="33">
        <v>5.0691244239631339E-2</v>
      </c>
      <c r="J38" t="s">
        <v>131</v>
      </c>
      <c r="K38" t="s">
        <v>78</v>
      </c>
      <c r="L38" t="str">
        <f>_xlfn.XLOOKUP(K38, plant_info[plant], plant_info[maintenance-requirements])</f>
        <v>low-maintenance</v>
      </c>
      <c r="M38" t="str">
        <f>_xlfn.XLOOKUP(responses[[#This Row],[plant_types]], plant_info[plant], plant_info[toxic])</f>
        <v>safe for pets &amp; children</v>
      </c>
      <c r="N38" t="s">
        <v>132</v>
      </c>
      <c r="O38" t="str">
        <f>_xlfn.XLOOKUP(J38, reason[survey_id], reason[reason_for_purchase])</f>
        <v>benefits</v>
      </c>
      <c r="P38" t="s">
        <v>531</v>
      </c>
      <c r="Q38" t="s">
        <v>534</v>
      </c>
      <c r="R38" t="s">
        <v>535</v>
      </c>
    </row>
    <row r="39" spans="1:18" ht="16.2" thickBot="1" x14ac:dyDescent="0.35">
      <c r="A39" s="30"/>
      <c r="B39" s="23"/>
      <c r="C39" s="26"/>
      <c r="E39" s="32" t="s">
        <v>576</v>
      </c>
      <c r="F39">
        <v>217</v>
      </c>
      <c r="G39" s="33">
        <v>1</v>
      </c>
      <c r="J39" t="s">
        <v>205</v>
      </c>
      <c r="K39" t="s">
        <v>70</v>
      </c>
      <c r="L39" t="str">
        <f>_xlfn.XLOOKUP(K39, plant_info[plant], plant_info[maintenance-requirements])</f>
        <v>low-maintenance</v>
      </c>
      <c r="M39" t="str">
        <f>_xlfn.XLOOKUP(responses[[#This Row],[plant_types]], plant_info[plant], plant_info[toxic])</f>
        <v>safe for pets &amp; children</v>
      </c>
      <c r="N39" t="s">
        <v>206</v>
      </c>
      <c r="O39" t="str">
        <f>_xlfn.XLOOKUP(J39, reason[survey_id], reason[reason_for_purchase])</f>
        <v>size</v>
      </c>
      <c r="P39" t="s">
        <v>528</v>
      </c>
      <c r="Q39" t="s">
        <v>534</v>
      </c>
      <c r="R39" t="s">
        <v>532</v>
      </c>
    </row>
    <row r="40" spans="1:18" ht="16.2" thickBot="1" x14ac:dyDescent="0.35">
      <c r="A40" s="24" t="s">
        <v>560</v>
      </c>
      <c r="B40" s="23" t="s">
        <v>571</v>
      </c>
      <c r="C40" s="27">
        <v>0.2581</v>
      </c>
      <c r="J40" t="s">
        <v>520</v>
      </c>
      <c r="K40" t="s">
        <v>43</v>
      </c>
      <c r="L40" t="str">
        <f>_xlfn.XLOOKUP(K40, plant_info[plant], plant_info[maintenance-requirements])</f>
        <v>low-maintenance</v>
      </c>
      <c r="M40" t="str">
        <f>_xlfn.XLOOKUP(responses[[#This Row],[plant_types]], plant_info[plant], plant_info[toxic])</f>
        <v>safe for pets &amp; children</v>
      </c>
      <c r="N40" t="s">
        <v>521</v>
      </c>
      <c r="O40" t="str">
        <f>_xlfn.XLOOKUP(J40, reason[survey_id], reason[reason_for_purchase])</f>
        <v>size</v>
      </c>
      <c r="P40" t="s">
        <v>531</v>
      </c>
      <c r="Q40" t="s">
        <v>536</v>
      </c>
      <c r="R40" t="s">
        <v>540</v>
      </c>
    </row>
    <row r="41" spans="1:18" ht="16.2" thickBot="1" x14ac:dyDescent="0.35">
      <c r="A41" s="24"/>
      <c r="B41" s="23"/>
      <c r="C41" s="26"/>
      <c r="J41" t="s">
        <v>209</v>
      </c>
      <c r="K41" t="s">
        <v>56</v>
      </c>
      <c r="L41" t="str">
        <f>_xlfn.XLOOKUP(K41, plant_info[plant], plant_info[maintenance-requirements])</f>
        <v>med-maintenance</v>
      </c>
      <c r="M41" t="str">
        <f>_xlfn.XLOOKUP(responses[[#This Row],[plant_types]], plant_info[plant], plant_info[toxic])</f>
        <v>safe for pets &amp; children</v>
      </c>
      <c r="N41" t="s">
        <v>210</v>
      </c>
      <c r="O41" t="str">
        <f>_xlfn.XLOOKUP(J41, reason[survey_id], reason[reason_for_purchase])</f>
        <v>price</v>
      </c>
      <c r="P41" t="s">
        <v>528</v>
      </c>
      <c r="Q41" t="s">
        <v>529</v>
      </c>
      <c r="R41" t="s">
        <v>535</v>
      </c>
    </row>
    <row r="42" spans="1:18" ht="16.2" thickBot="1" x14ac:dyDescent="0.35">
      <c r="J42" t="s">
        <v>443</v>
      </c>
      <c r="K42" t="s">
        <v>61</v>
      </c>
      <c r="L42" t="str">
        <f>_xlfn.XLOOKUP(K42, plant_info[plant], plant_info[maintenance-requirements])</f>
        <v>med-maintenance</v>
      </c>
      <c r="M42" t="str">
        <f>_xlfn.XLOOKUP(responses[[#This Row],[plant_types]], plant_info[plant], plant_info[toxic])</f>
        <v>safe for pets &amp; children</v>
      </c>
      <c r="N42" t="s">
        <v>444</v>
      </c>
      <c r="O42" t="str">
        <f>_xlfn.XLOOKUP(J42, reason[survey_id], reason[reason_for_purchase])</f>
        <v>price</v>
      </c>
      <c r="P42" t="s">
        <v>538</v>
      </c>
      <c r="Q42" t="s">
        <v>539</v>
      </c>
      <c r="R42" t="s">
        <v>532</v>
      </c>
    </row>
    <row r="43" spans="1:18" ht="18.600000000000001" thickBot="1" x14ac:dyDescent="0.4">
      <c r="A43" s="22" t="s">
        <v>580</v>
      </c>
      <c r="B43" s="22"/>
      <c r="C43" s="22"/>
      <c r="J43" t="s">
        <v>369</v>
      </c>
      <c r="K43" t="s">
        <v>73</v>
      </c>
      <c r="L43" t="str">
        <f>_xlfn.XLOOKUP(K43, plant_info[plant], plant_info[maintenance-requirements])</f>
        <v>med-maintenance</v>
      </c>
      <c r="M43" t="str">
        <f>_xlfn.XLOOKUP(responses[[#This Row],[plant_types]], plant_info[plant], plant_info[toxic])</f>
        <v>safe for pets &amp; children</v>
      </c>
      <c r="N43" t="s">
        <v>370</v>
      </c>
      <c r="O43" t="str">
        <f>_xlfn.XLOOKUP(J43, reason[survey_id], reason[reason_for_purchase])</f>
        <v>rare or unique species</v>
      </c>
      <c r="P43" t="s">
        <v>533</v>
      </c>
      <c r="Q43" t="s">
        <v>536</v>
      </c>
      <c r="R43" t="s">
        <v>540</v>
      </c>
    </row>
    <row r="44" spans="1:18" ht="16.2" customHeight="1" x14ac:dyDescent="0.3">
      <c r="A44" s="46" t="s">
        <v>581</v>
      </c>
      <c r="B44" s="46"/>
      <c r="C44" s="46"/>
      <c r="J44" t="s">
        <v>305</v>
      </c>
      <c r="K44" t="s">
        <v>43</v>
      </c>
      <c r="L44" t="str">
        <f>_xlfn.XLOOKUP(K44, plant_info[plant], plant_info[maintenance-requirements])</f>
        <v>low-maintenance</v>
      </c>
      <c r="M44" t="str">
        <f>_xlfn.XLOOKUP(responses[[#This Row],[plant_types]], plant_info[plant], plant_info[toxic])</f>
        <v>safe for pets &amp; children</v>
      </c>
      <c r="N44" t="s">
        <v>306</v>
      </c>
      <c r="O44" t="str">
        <f>_xlfn.XLOOKUP(J44, reason[survey_id], reason[reason_for_purchase])</f>
        <v>benefits</v>
      </c>
      <c r="P44" t="s">
        <v>528</v>
      </c>
      <c r="Q44" t="s">
        <v>536</v>
      </c>
      <c r="R44" t="s">
        <v>532</v>
      </c>
    </row>
    <row r="45" spans="1:18" x14ac:dyDescent="0.3">
      <c r="A45" s="47"/>
      <c r="B45" s="47"/>
      <c r="C45" s="47"/>
      <c r="J45" t="s">
        <v>403</v>
      </c>
      <c r="K45" t="s">
        <v>70</v>
      </c>
      <c r="L45" t="str">
        <f>_xlfn.XLOOKUP(K45, plant_info[plant], plant_info[maintenance-requirements])</f>
        <v>low-maintenance</v>
      </c>
      <c r="M45" t="str">
        <f>_xlfn.XLOOKUP(responses[[#This Row],[plant_types]], plant_info[plant], plant_info[toxic])</f>
        <v>safe for pets &amp; children</v>
      </c>
      <c r="N45" t="s">
        <v>404</v>
      </c>
      <c r="O45" t="str">
        <f>_xlfn.XLOOKUP(J45, reason[survey_id], reason[reason_for_purchase])</f>
        <v>care requirements</v>
      </c>
      <c r="P45" t="s">
        <v>531</v>
      </c>
      <c r="Q45" t="s">
        <v>534</v>
      </c>
      <c r="R45" t="s">
        <v>535</v>
      </c>
    </row>
    <row r="46" spans="1:18" ht="16.2" thickBot="1" x14ac:dyDescent="0.35">
      <c r="A46" s="47"/>
      <c r="B46" s="47"/>
      <c r="C46" s="47"/>
      <c r="J46" t="s">
        <v>123</v>
      </c>
      <c r="K46" t="s">
        <v>71</v>
      </c>
      <c r="L46" t="str">
        <f>_xlfn.XLOOKUP(K46, plant_info[plant], plant_info[maintenance-requirements])</f>
        <v>med-maintenance</v>
      </c>
      <c r="M46" t="str">
        <f>_xlfn.XLOOKUP(responses[[#This Row],[plant_types]], plant_info[plant], plant_info[toxic])</f>
        <v>safe for pets &amp; children</v>
      </c>
      <c r="N46" t="s">
        <v>124</v>
      </c>
      <c r="O46" t="str">
        <f>_xlfn.XLOOKUP(J46, reason[survey_id], reason[reason_for_purchase])</f>
        <v>rare or unique species</v>
      </c>
      <c r="P46" t="s">
        <v>531</v>
      </c>
      <c r="Q46" t="s">
        <v>534</v>
      </c>
      <c r="R46" t="s">
        <v>537</v>
      </c>
    </row>
    <row r="47" spans="1:18" ht="16.2" customHeight="1" thickBot="1" x14ac:dyDescent="0.35">
      <c r="A47" s="42" t="s">
        <v>554</v>
      </c>
      <c r="B47" s="46" t="s">
        <v>582</v>
      </c>
      <c r="C47" s="46"/>
      <c r="J47" t="s">
        <v>395</v>
      </c>
      <c r="K47" t="s">
        <v>70</v>
      </c>
      <c r="L47" t="str">
        <f>_xlfn.XLOOKUP(K47, plant_info[plant], plant_info[maintenance-requirements])</f>
        <v>low-maintenance</v>
      </c>
      <c r="M47" t="str">
        <f>_xlfn.XLOOKUP(responses[[#This Row],[plant_types]], plant_info[plant], plant_info[toxic])</f>
        <v>safe for pets &amp; children</v>
      </c>
      <c r="N47" t="s">
        <v>396</v>
      </c>
      <c r="O47" t="str">
        <f>_xlfn.XLOOKUP(J47, reason[survey_id], reason[reason_for_purchase])</f>
        <v>care requirements</v>
      </c>
      <c r="P47" t="s">
        <v>528</v>
      </c>
      <c r="Q47" t="s">
        <v>536</v>
      </c>
      <c r="R47" t="s">
        <v>532</v>
      </c>
    </row>
    <row r="48" spans="1:18" x14ac:dyDescent="0.3">
      <c r="A48" s="44" t="s">
        <v>583</v>
      </c>
      <c r="B48" s="44"/>
      <c r="C48" s="44"/>
      <c r="J48" t="s">
        <v>153</v>
      </c>
      <c r="K48" t="s">
        <v>84</v>
      </c>
      <c r="L48" t="str">
        <f>_xlfn.XLOOKUP(K48, plant_info[plant], plant_info[maintenance-requirements])</f>
        <v>low-maintenance</v>
      </c>
      <c r="M48" t="str">
        <f>_xlfn.XLOOKUP(responses[[#This Row],[plant_types]], plant_info[plant], plant_info[toxic])</f>
        <v>safe for pets &amp; children</v>
      </c>
      <c r="N48" t="s">
        <v>154</v>
      </c>
      <c r="O48" t="str">
        <f>_xlfn.XLOOKUP(J48, reason[survey_id], reason[reason_for_purchase])</f>
        <v>care requirements</v>
      </c>
      <c r="P48" t="s">
        <v>528</v>
      </c>
      <c r="Q48" t="s">
        <v>529</v>
      </c>
      <c r="R48" t="s">
        <v>530</v>
      </c>
    </row>
    <row r="49" spans="1:18" x14ac:dyDescent="0.3">
      <c r="A49" s="45"/>
      <c r="B49" s="45"/>
      <c r="C49" s="45"/>
      <c r="J49" t="s">
        <v>315</v>
      </c>
      <c r="K49" t="s">
        <v>55</v>
      </c>
      <c r="L49" t="str">
        <f>_xlfn.XLOOKUP(K49, plant_info[plant], plant_info[maintenance-requirements])</f>
        <v>low-maintenance</v>
      </c>
      <c r="M49" t="str">
        <f>_xlfn.XLOOKUP(responses[[#This Row],[plant_types]], plant_info[plant], plant_info[toxic])</f>
        <v>safe for pets &amp; children</v>
      </c>
      <c r="N49" t="s">
        <v>316</v>
      </c>
      <c r="O49" t="str">
        <f>_xlfn.XLOOKUP(J49, reason[survey_id], reason[reason_for_purchase])</f>
        <v>benefits</v>
      </c>
      <c r="P49" t="s">
        <v>528</v>
      </c>
      <c r="Q49" t="s">
        <v>541</v>
      </c>
      <c r="R49" t="s">
        <v>537</v>
      </c>
    </row>
    <row r="50" spans="1:18" x14ac:dyDescent="0.3">
      <c r="A50" s="45"/>
      <c r="B50" s="45"/>
      <c r="C50" s="45"/>
      <c r="J50" t="s">
        <v>389</v>
      </c>
      <c r="K50" t="s">
        <v>39</v>
      </c>
      <c r="L50" t="str">
        <f>_xlfn.XLOOKUP(K50, plant_info[plant], plant_info[maintenance-requirements])</f>
        <v>med-maintenance</v>
      </c>
      <c r="M50" t="str">
        <f>_xlfn.XLOOKUP(responses[[#This Row],[plant_types]], plant_info[plant], plant_info[toxic])</f>
        <v>safe for pets &amp; children</v>
      </c>
      <c r="N50" t="s">
        <v>390</v>
      </c>
      <c r="O50" t="str">
        <f>_xlfn.XLOOKUP(J50, reason[survey_id], reason[reason_for_purchase])</f>
        <v>pet-friendly or safe for children</v>
      </c>
      <c r="P50" t="s">
        <v>528</v>
      </c>
      <c r="Q50" t="s">
        <v>536</v>
      </c>
      <c r="R50" t="s">
        <v>532</v>
      </c>
    </row>
    <row r="51" spans="1:18" x14ac:dyDescent="0.3">
      <c r="A51" s="45"/>
      <c r="B51" s="45"/>
      <c r="C51" s="45"/>
      <c r="J51" t="s">
        <v>343</v>
      </c>
      <c r="K51" t="s">
        <v>84</v>
      </c>
      <c r="L51" t="str">
        <f>_xlfn.XLOOKUP(K51, plant_info[plant], plant_info[maintenance-requirements])</f>
        <v>low-maintenance</v>
      </c>
      <c r="M51" t="str">
        <f>_xlfn.XLOOKUP(responses[[#This Row],[plant_types]], plant_info[plant], plant_info[toxic])</f>
        <v>safe for pets &amp; children</v>
      </c>
      <c r="N51" t="s">
        <v>344</v>
      </c>
      <c r="O51" t="str">
        <f>_xlfn.XLOOKUP(J51, reason[survey_id], reason[reason_for_purchase])</f>
        <v>care requirements</v>
      </c>
      <c r="P51" t="s">
        <v>528</v>
      </c>
      <c r="Q51" t="s">
        <v>534</v>
      </c>
      <c r="R51" t="s">
        <v>540</v>
      </c>
    </row>
    <row r="52" spans="1:18" x14ac:dyDescent="0.3">
      <c r="A52" s="45"/>
      <c r="B52" s="45"/>
      <c r="C52" s="45"/>
      <c r="J52" t="s">
        <v>159</v>
      </c>
      <c r="K52" t="s">
        <v>71</v>
      </c>
      <c r="L52" t="str">
        <f>_xlfn.XLOOKUP(K52, plant_info[plant], plant_info[maintenance-requirements])</f>
        <v>med-maintenance</v>
      </c>
      <c r="M52" t="str">
        <f>_xlfn.XLOOKUP(responses[[#This Row],[plant_types]], plant_info[plant], plant_info[toxic])</f>
        <v>safe for pets &amp; children</v>
      </c>
      <c r="N52" t="s">
        <v>160</v>
      </c>
      <c r="O52" t="str">
        <f>_xlfn.XLOOKUP(J52, reason[survey_id], reason[reason_for_purchase])</f>
        <v>benefits</v>
      </c>
      <c r="P52" t="s">
        <v>531</v>
      </c>
      <c r="Q52" t="s">
        <v>536</v>
      </c>
      <c r="R52" t="s">
        <v>537</v>
      </c>
    </row>
    <row r="53" spans="1:18" x14ac:dyDescent="0.3">
      <c r="A53" s="45"/>
      <c r="B53" s="45"/>
      <c r="C53" s="45"/>
      <c r="J53" t="s">
        <v>93</v>
      </c>
      <c r="K53" t="s">
        <v>35</v>
      </c>
      <c r="L53" t="str">
        <f>_xlfn.XLOOKUP(K53, plant_info[plant], plant_info[maintenance-requirements])</f>
        <v>low-maintenance</v>
      </c>
      <c r="M53" t="str">
        <f>_xlfn.XLOOKUP(responses[[#This Row],[plant_types]], plant_info[plant], plant_info[toxic])</f>
        <v>safe for pets &amp; children</v>
      </c>
      <c r="N53" t="s">
        <v>94</v>
      </c>
      <c r="O53" t="str">
        <f>_xlfn.XLOOKUP(J53, reason[survey_id], reason[reason_for_purchase])</f>
        <v>price</v>
      </c>
      <c r="P53" t="s">
        <v>528</v>
      </c>
      <c r="Q53" t="s">
        <v>529</v>
      </c>
      <c r="R53" t="s">
        <v>535</v>
      </c>
    </row>
    <row r="54" spans="1:18" x14ac:dyDescent="0.3">
      <c r="A54" s="45"/>
      <c r="B54" s="45"/>
      <c r="C54" s="45"/>
      <c r="J54" t="s">
        <v>492</v>
      </c>
      <c r="K54" t="s">
        <v>78</v>
      </c>
      <c r="L54" t="str">
        <f>_xlfn.XLOOKUP(K54, plant_info[plant], plant_info[maintenance-requirements])</f>
        <v>low-maintenance</v>
      </c>
      <c r="M54" t="str">
        <f>_xlfn.XLOOKUP(responses[[#This Row],[plant_types]], plant_info[plant], plant_info[toxic])</f>
        <v>safe for pets &amp; children</v>
      </c>
      <c r="N54" t="s">
        <v>493</v>
      </c>
      <c r="O54" t="str">
        <f>_xlfn.XLOOKUP(J54, reason[survey_id], reason[reason_for_purchase])</f>
        <v>care requirements</v>
      </c>
      <c r="P54" t="s">
        <v>528</v>
      </c>
      <c r="Q54" t="s">
        <v>539</v>
      </c>
      <c r="R54" t="s">
        <v>532</v>
      </c>
    </row>
    <row r="55" spans="1:18" x14ac:dyDescent="0.3">
      <c r="A55" s="45"/>
      <c r="B55" s="45"/>
      <c r="C55" s="45"/>
      <c r="J55" t="s">
        <v>177</v>
      </c>
      <c r="K55" t="s">
        <v>55</v>
      </c>
      <c r="L55" t="str">
        <f>_xlfn.XLOOKUP(K55, plant_info[plant], plant_info[maintenance-requirements])</f>
        <v>low-maintenance</v>
      </c>
      <c r="M55" t="str">
        <f>_xlfn.XLOOKUP(responses[[#This Row],[plant_types]], plant_info[plant], plant_info[toxic])</f>
        <v>safe for pets &amp; children</v>
      </c>
      <c r="N55" t="s">
        <v>178</v>
      </c>
      <c r="O55" t="str">
        <f>_xlfn.XLOOKUP(J55, reason[survey_id], reason[reason_for_purchase])</f>
        <v>pet-friendly or safe for children</v>
      </c>
      <c r="P55" t="s">
        <v>531</v>
      </c>
      <c r="Q55" t="s">
        <v>534</v>
      </c>
      <c r="R55" t="s">
        <v>530</v>
      </c>
    </row>
    <row r="56" spans="1:18" x14ac:dyDescent="0.3">
      <c r="A56" s="45"/>
      <c r="B56" s="45"/>
      <c r="C56" s="45"/>
      <c r="J56" t="s">
        <v>375</v>
      </c>
      <c r="K56" t="s">
        <v>68</v>
      </c>
      <c r="L56" t="str">
        <f>_xlfn.XLOOKUP(K56, plant_info[plant], plant_info[maintenance-requirements])</f>
        <v>low-maintenance</v>
      </c>
      <c r="M56" t="str">
        <f>_xlfn.XLOOKUP(responses[[#This Row],[plant_types]], plant_info[plant], plant_info[toxic])</f>
        <v>safe for pets &amp; children</v>
      </c>
      <c r="N56" t="s">
        <v>376</v>
      </c>
      <c r="O56" t="str">
        <f>_xlfn.XLOOKUP(J56, reason[survey_id], reason[reason_for_purchase])</f>
        <v>benefits</v>
      </c>
      <c r="P56" t="s">
        <v>528</v>
      </c>
      <c r="Q56" t="s">
        <v>529</v>
      </c>
      <c r="R56" t="s">
        <v>532</v>
      </c>
    </row>
    <row r="57" spans="1:18" x14ac:dyDescent="0.3">
      <c r="A57" s="45"/>
      <c r="B57" s="45"/>
      <c r="C57" s="45"/>
      <c r="J57" t="s">
        <v>221</v>
      </c>
      <c r="K57" t="s">
        <v>35</v>
      </c>
      <c r="L57" t="str">
        <f>_xlfn.XLOOKUP(K57, plant_info[plant], plant_info[maintenance-requirements])</f>
        <v>low-maintenance</v>
      </c>
      <c r="M57" t="str">
        <f>_xlfn.XLOOKUP(responses[[#This Row],[plant_types]], plant_info[plant], plant_info[toxic])</f>
        <v>safe for pets &amp; children</v>
      </c>
      <c r="N57" t="s">
        <v>222</v>
      </c>
      <c r="O57" t="str">
        <f>_xlfn.XLOOKUP(J57, reason[survey_id], reason[reason_for_purchase])</f>
        <v>benefits</v>
      </c>
      <c r="P57" t="s">
        <v>528</v>
      </c>
      <c r="Q57" t="s">
        <v>534</v>
      </c>
      <c r="R57" t="s">
        <v>537</v>
      </c>
    </row>
    <row r="58" spans="1:18" x14ac:dyDescent="0.3">
      <c r="A58" s="45"/>
      <c r="B58" s="45"/>
      <c r="C58" s="45"/>
      <c r="J58" t="s">
        <v>103</v>
      </c>
      <c r="K58" t="s">
        <v>35</v>
      </c>
      <c r="L58" t="str">
        <f>_xlfn.XLOOKUP(K58, plant_info[plant], plant_info[maintenance-requirements])</f>
        <v>low-maintenance</v>
      </c>
      <c r="M58" t="str">
        <f>_xlfn.XLOOKUP(responses[[#This Row],[plant_types]], plant_info[plant], plant_info[toxic])</f>
        <v>safe for pets &amp; children</v>
      </c>
      <c r="N58" t="s">
        <v>104</v>
      </c>
      <c r="O58" t="str">
        <f>_xlfn.XLOOKUP(J58, reason[survey_id], reason[reason_for_purchase])</f>
        <v>rare or unique species</v>
      </c>
      <c r="P58" t="s">
        <v>531</v>
      </c>
      <c r="Q58" t="s">
        <v>536</v>
      </c>
      <c r="R58" t="s">
        <v>530</v>
      </c>
    </row>
    <row r="59" spans="1:18" ht="16.2" customHeight="1" thickBot="1" x14ac:dyDescent="0.35">
      <c r="A59" s="36"/>
      <c r="B59" s="36"/>
      <c r="C59" s="36"/>
      <c r="D59" s="37"/>
      <c r="E59" s="37"/>
      <c r="J59" t="s">
        <v>241</v>
      </c>
      <c r="K59" t="s">
        <v>84</v>
      </c>
      <c r="L59" t="str">
        <f>_xlfn.XLOOKUP(K59, plant_info[plant], plant_info[maintenance-requirements])</f>
        <v>low-maintenance</v>
      </c>
      <c r="M59" t="str">
        <f>_xlfn.XLOOKUP(responses[[#This Row],[plant_types]], plant_info[plant], plant_info[toxic])</f>
        <v>safe for pets &amp; children</v>
      </c>
      <c r="N59" t="s">
        <v>242</v>
      </c>
      <c r="O59" t="str">
        <f>_xlfn.XLOOKUP(J59, reason[survey_id], reason[reason_for_purchase])</f>
        <v>price</v>
      </c>
      <c r="P59" t="s">
        <v>528</v>
      </c>
      <c r="Q59" t="s">
        <v>529</v>
      </c>
      <c r="R59" t="s">
        <v>532</v>
      </c>
    </row>
    <row r="60" spans="1:18" ht="18.600000000000001" thickBot="1" x14ac:dyDescent="0.4">
      <c r="A60" s="22" t="s">
        <v>584</v>
      </c>
      <c r="B60" s="22"/>
      <c r="C60" s="22"/>
      <c r="J60" t="s">
        <v>114</v>
      </c>
      <c r="K60" t="s">
        <v>72</v>
      </c>
      <c r="L60" t="str">
        <f>_xlfn.XLOOKUP(K60, plant_info[plant], plant_info[maintenance-requirements])</f>
        <v>low-maintenance</v>
      </c>
      <c r="M60" t="str">
        <f>_xlfn.XLOOKUP(responses[[#This Row],[plant_types]], plant_info[plant], plant_info[toxic])</f>
        <v>safe for pets &amp; children</v>
      </c>
      <c r="N60" t="s">
        <v>115</v>
      </c>
      <c r="O60" t="str">
        <f>_xlfn.XLOOKUP(J60, reason[survey_id], reason[reason_for_purchase])</f>
        <v>care requirements</v>
      </c>
      <c r="P60" t="s">
        <v>531</v>
      </c>
      <c r="Q60" t="s">
        <v>529</v>
      </c>
      <c r="R60" t="s">
        <v>532</v>
      </c>
    </row>
    <row r="61" spans="1:18" ht="16.2" thickBot="1" x14ac:dyDescent="0.35">
      <c r="A61" s="35" t="s">
        <v>585</v>
      </c>
      <c r="B61" s="35"/>
      <c r="C61" s="35"/>
      <c r="J61" t="s">
        <v>437</v>
      </c>
      <c r="K61" t="s">
        <v>58</v>
      </c>
      <c r="L61" t="str">
        <f>_xlfn.XLOOKUP(K61, plant_info[plant], plant_info[maintenance-requirements])</f>
        <v>med-maintenance</v>
      </c>
      <c r="M61" t="str">
        <f>_xlfn.XLOOKUP(responses[[#This Row],[plant_types]], plant_info[plant], plant_info[toxic])</f>
        <v>safe for pets &amp; children</v>
      </c>
      <c r="N61" t="s">
        <v>438</v>
      </c>
      <c r="O61" t="str">
        <f>_xlfn.XLOOKUP(J61, reason[survey_id], reason[reason_for_purchase])</f>
        <v>care requirements</v>
      </c>
      <c r="P61" t="s">
        <v>538</v>
      </c>
      <c r="Q61" t="s">
        <v>534</v>
      </c>
      <c r="R61" t="s">
        <v>530</v>
      </c>
    </row>
    <row r="62" spans="1:18" ht="16.2" customHeight="1" thickBot="1" x14ac:dyDescent="0.35">
      <c r="A62" s="35"/>
      <c r="B62" s="35"/>
      <c r="C62" s="35"/>
      <c r="G62" s="41"/>
      <c r="J62" t="s">
        <v>407</v>
      </c>
      <c r="K62" t="s">
        <v>68</v>
      </c>
      <c r="L62" t="str">
        <f>_xlfn.XLOOKUP(K62, plant_info[plant], plant_info[maintenance-requirements])</f>
        <v>low-maintenance</v>
      </c>
      <c r="M62" t="str">
        <f>_xlfn.XLOOKUP(responses[[#This Row],[plant_types]], plant_info[plant], plant_info[toxic])</f>
        <v>safe for pets &amp; children</v>
      </c>
      <c r="N62" t="s">
        <v>408</v>
      </c>
      <c r="O62" t="str">
        <f>_xlfn.XLOOKUP(J62, reason[survey_id], reason[reason_for_purchase])</f>
        <v>benefits</v>
      </c>
      <c r="P62" t="s">
        <v>528</v>
      </c>
      <c r="Q62" t="s">
        <v>536</v>
      </c>
      <c r="R62" t="s">
        <v>540</v>
      </c>
    </row>
    <row r="63" spans="1:18" ht="16.2" thickBot="1" x14ac:dyDescent="0.35">
      <c r="A63" s="35"/>
      <c r="B63" s="35"/>
      <c r="C63" s="35"/>
      <c r="E63" s="31" t="s">
        <v>590</v>
      </c>
      <c r="F63" s="31"/>
      <c r="J63" t="s">
        <v>121</v>
      </c>
      <c r="K63" t="s">
        <v>84</v>
      </c>
      <c r="L63" t="str">
        <f>_xlfn.XLOOKUP(K63, plant_info[plant], plant_info[maintenance-requirements])</f>
        <v>low-maintenance</v>
      </c>
      <c r="M63" t="str">
        <f>_xlfn.XLOOKUP(responses[[#This Row],[plant_types]], plant_info[plant], plant_info[toxic])</f>
        <v>safe for pets &amp; children</v>
      </c>
      <c r="N63" t="s">
        <v>122</v>
      </c>
      <c r="O63" t="str">
        <f>_xlfn.XLOOKUP(J63, reason[survey_id], reason[reason_for_purchase])</f>
        <v>care requirements</v>
      </c>
      <c r="P63" t="s">
        <v>533</v>
      </c>
      <c r="Q63" t="s">
        <v>534</v>
      </c>
      <c r="R63" t="s">
        <v>530</v>
      </c>
    </row>
    <row r="64" spans="1:18" ht="16.2" thickBot="1" x14ac:dyDescent="0.35">
      <c r="A64" s="24" t="s">
        <v>554</v>
      </c>
      <c r="B64" s="23" t="s">
        <v>586</v>
      </c>
      <c r="C64" s="23"/>
      <c r="E64" s="34" t="s">
        <v>573</v>
      </c>
      <c r="F64" t="s">
        <v>591</v>
      </c>
      <c r="J64" t="s">
        <v>459</v>
      </c>
      <c r="K64" t="s">
        <v>55</v>
      </c>
      <c r="L64" t="str">
        <f>_xlfn.XLOOKUP(K64, plant_info[plant], plant_info[maintenance-requirements])</f>
        <v>low-maintenance</v>
      </c>
      <c r="M64" t="str">
        <f>_xlfn.XLOOKUP(responses[[#This Row],[plant_types]], plant_info[plant], plant_info[toxic])</f>
        <v>safe for pets &amp; children</v>
      </c>
      <c r="N64" t="s">
        <v>460</v>
      </c>
      <c r="O64" t="str">
        <f>_xlfn.XLOOKUP(J64, reason[survey_id], reason[reason_for_purchase])</f>
        <v>pet-friendly or safe for children</v>
      </c>
      <c r="P64" t="s">
        <v>528</v>
      </c>
      <c r="Q64" t="s">
        <v>536</v>
      </c>
      <c r="R64" t="s">
        <v>542</v>
      </c>
    </row>
    <row r="65" spans="1:18" ht="16.2" customHeight="1" thickBot="1" x14ac:dyDescent="0.35">
      <c r="A65" s="24"/>
      <c r="B65" s="23"/>
      <c r="C65" s="23"/>
      <c r="E65" s="32" t="s">
        <v>528</v>
      </c>
      <c r="F65" s="33">
        <v>0.41474654377880182</v>
      </c>
      <c r="J65" t="s">
        <v>243</v>
      </c>
      <c r="K65" t="s">
        <v>70</v>
      </c>
      <c r="L65" t="str">
        <f>_xlfn.XLOOKUP(K65, plant_info[plant], plant_info[maintenance-requirements])</f>
        <v>low-maintenance</v>
      </c>
      <c r="M65" t="str">
        <f>_xlfn.XLOOKUP(responses[[#This Row],[plant_types]], plant_info[plant], plant_info[toxic])</f>
        <v>safe for pets &amp; children</v>
      </c>
      <c r="N65" t="s">
        <v>244</v>
      </c>
      <c r="O65" t="str">
        <f>_xlfn.XLOOKUP(J65, reason[survey_id], reason[reason_for_purchase])</f>
        <v>size</v>
      </c>
      <c r="P65" t="s">
        <v>528</v>
      </c>
      <c r="Q65" t="s">
        <v>536</v>
      </c>
      <c r="R65" t="s">
        <v>535</v>
      </c>
    </row>
    <row r="66" spans="1:18" ht="16.2" thickBot="1" x14ac:dyDescent="0.35">
      <c r="A66" s="24"/>
      <c r="B66" s="23"/>
      <c r="C66" s="23"/>
      <c r="E66" s="40" t="s">
        <v>116</v>
      </c>
      <c r="F66" s="33">
        <v>0.31111111111111112</v>
      </c>
      <c r="J66" t="s">
        <v>377</v>
      </c>
      <c r="K66" t="s">
        <v>55</v>
      </c>
      <c r="L66" t="str">
        <f>_xlfn.XLOOKUP(K66, plant_info[plant], plant_info[maintenance-requirements])</f>
        <v>low-maintenance</v>
      </c>
      <c r="M66" t="str">
        <f>_xlfn.XLOOKUP(responses[[#This Row],[plant_types]], plant_info[plant], plant_info[toxic])</f>
        <v>safe for pets &amp; children</v>
      </c>
      <c r="N66" t="s">
        <v>378</v>
      </c>
      <c r="O66" t="str">
        <f>_xlfn.XLOOKUP(J66, reason[survey_id], reason[reason_for_purchase])</f>
        <v>care requirements</v>
      </c>
      <c r="P66" t="s">
        <v>538</v>
      </c>
      <c r="Q66" t="s">
        <v>536</v>
      </c>
      <c r="R66" t="s">
        <v>535</v>
      </c>
    </row>
    <row r="67" spans="1:18" ht="16.2" customHeight="1" thickBot="1" x14ac:dyDescent="0.35">
      <c r="A67" s="24" t="s">
        <v>556</v>
      </c>
      <c r="B67" s="23" t="s">
        <v>587</v>
      </c>
      <c r="C67" s="23"/>
      <c r="E67" s="40" t="s">
        <v>87</v>
      </c>
      <c r="F67" s="33">
        <v>0.22222222222222221</v>
      </c>
      <c r="J67" t="s">
        <v>474</v>
      </c>
      <c r="K67" t="s">
        <v>73</v>
      </c>
      <c r="L67" t="str">
        <f>_xlfn.XLOOKUP(K67, plant_info[plant], plant_info[maintenance-requirements])</f>
        <v>med-maintenance</v>
      </c>
      <c r="M67" t="str">
        <f>_xlfn.XLOOKUP(responses[[#This Row],[plant_types]], plant_info[plant], plant_info[toxic])</f>
        <v>safe for pets &amp; children</v>
      </c>
      <c r="N67" t="s">
        <v>475</v>
      </c>
      <c r="O67" t="str">
        <f>_xlfn.XLOOKUP(J67, reason[survey_id], reason[reason_for_purchase])</f>
        <v>rare or unique species</v>
      </c>
      <c r="P67" t="s">
        <v>533</v>
      </c>
      <c r="Q67" t="s">
        <v>529</v>
      </c>
      <c r="R67" t="s">
        <v>532</v>
      </c>
    </row>
    <row r="68" spans="1:18" ht="16.2" thickBot="1" x14ac:dyDescent="0.35">
      <c r="A68" s="24"/>
      <c r="B68" s="23"/>
      <c r="C68" s="23"/>
      <c r="E68" s="40" t="s">
        <v>90</v>
      </c>
      <c r="F68" s="33">
        <v>0.18888888888888888</v>
      </c>
      <c r="J68" t="s">
        <v>502</v>
      </c>
      <c r="K68" t="s">
        <v>84</v>
      </c>
      <c r="L68" t="str">
        <f>_xlfn.XLOOKUP(K68, plant_info[plant], plant_info[maintenance-requirements])</f>
        <v>low-maintenance</v>
      </c>
      <c r="M68" t="str">
        <f>_xlfn.XLOOKUP(responses[[#This Row],[plant_types]], plant_info[plant], plant_info[toxic])</f>
        <v>safe for pets &amp; children</v>
      </c>
      <c r="N68" t="s">
        <v>503</v>
      </c>
      <c r="O68" t="str">
        <f>_xlfn.XLOOKUP(J68, reason[survey_id], reason[reason_for_purchase])</f>
        <v>pet-friendly or safe for children</v>
      </c>
      <c r="P68" t="s">
        <v>528</v>
      </c>
      <c r="Q68" t="s">
        <v>529</v>
      </c>
      <c r="R68" t="s">
        <v>530</v>
      </c>
    </row>
    <row r="69" spans="1:18" ht="16.2" thickBot="1" x14ac:dyDescent="0.35">
      <c r="A69" s="38" t="s">
        <v>558</v>
      </c>
      <c r="B69" s="23" t="s">
        <v>588</v>
      </c>
      <c r="C69" s="23"/>
      <c r="E69" s="40" t="s">
        <v>105</v>
      </c>
      <c r="F69" s="33">
        <v>0.1111111111111111</v>
      </c>
      <c r="J69" t="s">
        <v>239</v>
      </c>
      <c r="K69" t="s">
        <v>66</v>
      </c>
      <c r="L69" t="str">
        <f>_xlfn.XLOOKUP(K69, plant_info[plant], plant_info[maintenance-requirements])</f>
        <v>low-maintenance</v>
      </c>
      <c r="M69" t="str">
        <f>_xlfn.XLOOKUP(responses[[#This Row],[plant_types]], plant_info[plant], plant_info[toxic])</f>
        <v>toxic</v>
      </c>
      <c r="N69" t="s">
        <v>240</v>
      </c>
      <c r="O69" t="str">
        <f>_xlfn.XLOOKUP(J69, reason[survey_id], reason[reason_for_purchase])</f>
        <v>care requirements</v>
      </c>
      <c r="P69" t="s">
        <v>528</v>
      </c>
      <c r="Q69" t="s">
        <v>529</v>
      </c>
      <c r="R69" t="s">
        <v>530</v>
      </c>
    </row>
    <row r="70" spans="1:18" ht="15.6" customHeight="1" thickBot="1" x14ac:dyDescent="0.35">
      <c r="A70" s="39"/>
      <c r="B70" s="23"/>
      <c r="C70" s="23"/>
      <c r="E70" s="40" t="s">
        <v>100</v>
      </c>
      <c r="F70" s="33">
        <v>0.1111111111111111</v>
      </c>
      <c r="J70" t="s">
        <v>445</v>
      </c>
      <c r="K70" t="s">
        <v>35</v>
      </c>
      <c r="L70" t="str">
        <f>_xlfn.XLOOKUP(K70, plant_info[plant], plant_info[maintenance-requirements])</f>
        <v>low-maintenance</v>
      </c>
      <c r="M70" t="str">
        <f>_xlfn.XLOOKUP(responses[[#This Row],[plant_types]], plant_info[plant], plant_info[toxic])</f>
        <v>safe for pets &amp; children</v>
      </c>
      <c r="N70" t="s">
        <v>446</v>
      </c>
      <c r="O70" t="str">
        <f>_xlfn.XLOOKUP(J70, reason[survey_id], reason[reason_for_purchase])</f>
        <v>pet-friendly or safe for children</v>
      </c>
      <c r="P70" t="s">
        <v>538</v>
      </c>
      <c r="Q70" t="s">
        <v>534</v>
      </c>
      <c r="R70" t="s">
        <v>535</v>
      </c>
    </row>
    <row r="71" spans="1:18" ht="15.6" customHeight="1" thickBot="1" x14ac:dyDescent="0.35">
      <c r="A71" s="39"/>
      <c r="B71" s="23"/>
      <c r="C71" s="23"/>
      <c r="E71" s="40" t="s">
        <v>95</v>
      </c>
      <c r="F71" s="33">
        <v>5.5555555555555552E-2</v>
      </c>
      <c r="J71" t="s">
        <v>518</v>
      </c>
      <c r="K71" t="s">
        <v>43</v>
      </c>
      <c r="L71" t="str">
        <f>_xlfn.XLOOKUP(K71, plant_info[plant], plant_info[maintenance-requirements])</f>
        <v>low-maintenance</v>
      </c>
      <c r="M71" t="str">
        <f>_xlfn.XLOOKUP(responses[[#This Row],[plant_types]], plant_info[plant], plant_info[toxic])</f>
        <v>safe for pets &amp; children</v>
      </c>
      <c r="N71" t="s">
        <v>519</v>
      </c>
      <c r="O71" t="str">
        <f>_xlfn.XLOOKUP(J71, reason[survey_id], reason[reason_for_purchase])</f>
        <v>size</v>
      </c>
      <c r="P71" t="s">
        <v>531</v>
      </c>
      <c r="Q71" t="s">
        <v>534</v>
      </c>
      <c r="R71" t="s">
        <v>537</v>
      </c>
    </row>
    <row r="72" spans="1:18" x14ac:dyDescent="0.3">
      <c r="A72" s="44" t="s">
        <v>589</v>
      </c>
      <c r="B72" s="44"/>
      <c r="C72" s="44"/>
      <c r="E72" s="32" t="s">
        <v>531</v>
      </c>
      <c r="F72" s="33">
        <v>0.27188940092165897</v>
      </c>
      <c r="J72" t="s">
        <v>486</v>
      </c>
      <c r="K72" t="s">
        <v>39</v>
      </c>
      <c r="L72" t="str">
        <f>_xlfn.XLOOKUP(K72, plant_info[plant], plant_info[maintenance-requirements])</f>
        <v>med-maintenance</v>
      </c>
      <c r="M72" t="str">
        <f>_xlfn.XLOOKUP(responses[[#This Row],[plant_types]], plant_info[plant], plant_info[toxic])</f>
        <v>safe for pets &amp; children</v>
      </c>
      <c r="N72" t="s">
        <v>487</v>
      </c>
      <c r="O72" t="str">
        <f>_xlfn.XLOOKUP(J72, reason[survey_id], reason[reason_for_purchase])</f>
        <v>size</v>
      </c>
      <c r="P72" t="s">
        <v>531</v>
      </c>
      <c r="Q72" t="s">
        <v>536</v>
      </c>
      <c r="R72" t="s">
        <v>540</v>
      </c>
    </row>
    <row r="73" spans="1:18" x14ac:dyDescent="0.3">
      <c r="A73" s="45"/>
      <c r="B73" s="45"/>
      <c r="C73" s="45"/>
      <c r="E73" s="40" t="s">
        <v>87</v>
      </c>
      <c r="F73" s="33">
        <v>0.2711864406779661</v>
      </c>
      <c r="J73" t="s">
        <v>512</v>
      </c>
      <c r="K73" t="s">
        <v>43</v>
      </c>
      <c r="L73" t="str">
        <f>_xlfn.XLOOKUP(K73, plant_info[plant], plant_info[maintenance-requirements])</f>
        <v>low-maintenance</v>
      </c>
      <c r="M73" t="str">
        <f>_xlfn.XLOOKUP(responses[[#This Row],[plant_types]], plant_info[plant], plant_info[toxic])</f>
        <v>safe for pets &amp; children</v>
      </c>
      <c r="N73" t="s">
        <v>513</v>
      </c>
      <c r="O73" t="str">
        <f>_xlfn.XLOOKUP(J73, reason[survey_id], reason[reason_for_purchase])</f>
        <v>pet-friendly or safe for children</v>
      </c>
      <c r="P73" t="s">
        <v>528</v>
      </c>
      <c r="Q73" t="s">
        <v>534</v>
      </c>
      <c r="R73" t="s">
        <v>537</v>
      </c>
    </row>
    <row r="74" spans="1:18" x14ac:dyDescent="0.3">
      <c r="A74" s="45"/>
      <c r="B74" s="45"/>
      <c r="C74" s="45"/>
      <c r="E74" s="40" t="s">
        <v>116</v>
      </c>
      <c r="F74" s="33">
        <v>0.25423728813559321</v>
      </c>
      <c r="J74" t="s">
        <v>447</v>
      </c>
      <c r="K74" t="s">
        <v>72</v>
      </c>
      <c r="L74" t="str">
        <f>_xlfn.XLOOKUP(K74, plant_info[plant], plant_info[maintenance-requirements])</f>
        <v>low-maintenance</v>
      </c>
      <c r="M74" t="str">
        <f>_xlfn.XLOOKUP(responses[[#This Row],[plant_types]], plant_info[plant], plant_info[toxic])</f>
        <v>safe for pets &amp; children</v>
      </c>
      <c r="N74" t="s">
        <v>448</v>
      </c>
      <c r="O74" t="str">
        <f>_xlfn.XLOOKUP(J74, reason[survey_id], reason[reason_for_purchase])</f>
        <v>price</v>
      </c>
      <c r="P74" t="s">
        <v>538</v>
      </c>
      <c r="Q74" t="s">
        <v>529</v>
      </c>
      <c r="R74" t="s">
        <v>532</v>
      </c>
    </row>
    <row r="75" spans="1:18" x14ac:dyDescent="0.3">
      <c r="A75" s="45"/>
      <c r="B75" s="45"/>
      <c r="C75" s="45"/>
      <c r="E75" s="40" t="s">
        <v>90</v>
      </c>
      <c r="F75" s="33">
        <v>0.22033898305084745</v>
      </c>
      <c r="J75" t="s">
        <v>337</v>
      </c>
      <c r="K75" t="s">
        <v>71</v>
      </c>
      <c r="L75" t="str">
        <f>_xlfn.XLOOKUP(K75, plant_info[plant], plant_info[maintenance-requirements])</f>
        <v>med-maintenance</v>
      </c>
      <c r="M75" t="str">
        <f>_xlfn.XLOOKUP(responses[[#This Row],[plant_types]], plant_info[plant], plant_info[toxic])</f>
        <v>safe for pets &amp; children</v>
      </c>
      <c r="N75" t="s">
        <v>338</v>
      </c>
      <c r="O75" t="str">
        <f>_xlfn.XLOOKUP(J75, reason[survey_id], reason[reason_for_purchase])</f>
        <v>benefits</v>
      </c>
      <c r="P75" t="s">
        <v>528</v>
      </c>
      <c r="Q75" t="s">
        <v>529</v>
      </c>
      <c r="R75" t="s">
        <v>530</v>
      </c>
    </row>
    <row r="76" spans="1:18" x14ac:dyDescent="0.3">
      <c r="A76" s="36"/>
      <c r="B76" s="36"/>
      <c r="C76" s="36"/>
      <c r="E76" s="40" t="s">
        <v>105</v>
      </c>
      <c r="F76" s="33">
        <v>0.11864406779661017</v>
      </c>
      <c r="J76" t="s">
        <v>359</v>
      </c>
      <c r="K76" t="s">
        <v>78</v>
      </c>
      <c r="L76" t="str">
        <f>_xlfn.XLOOKUP(K76, plant_info[plant], plant_info[maintenance-requirements])</f>
        <v>low-maintenance</v>
      </c>
      <c r="M76" t="str">
        <f>_xlfn.XLOOKUP(responses[[#This Row],[plant_types]], plant_info[plant], plant_info[toxic])</f>
        <v>safe for pets &amp; children</v>
      </c>
      <c r="N76" t="s">
        <v>360</v>
      </c>
      <c r="O76" t="str">
        <f>_xlfn.XLOOKUP(J76, reason[survey_id], reason[reason_for_purchase])</f>
        <v>price</v>
      </c>
      <c r="P76" t="s">
        <v>533</v>
      </c>
      <c r="Q76" t="s">
        <v>534</v>
      </c>
      <c r="R76" t="s">
        <v>537</v>
      </c>
    </row>
    <row r="77" spans="1:18" x14ac:dyDescent="0.3">
      <c r="A77" s="36"/>
      <c r="B77" s="36"/>
      <c r="C77" s="36"/>
      <c r="E77" s="40" t="s">
        <v>100</v>
      </c>
      <c r="F77" s="33">
        <v>8.4745762711864403E-2</v>
      </c>
      <c r="J77" t="s">
        <v>307</v>
      </c>
      <c r="K77" t="s">
        <v>65</v>
      </c>
      <c r="L77" t="str">
        <f>_xlfn.XLOOKUP(K77, plant_info[plant], plant_info[maintenance-requirements])</f>
        <v>high-maintenance</v>
      </c>
      <c r="M77" t="str">
        <f>_xlfn.XLOOKUP(responses[[#This Row],[plant_types]], plant_info[plant], plant_info[toxic])</f>
        <v>safe for pets &amp; children</v>
      </c>
      <c r="N77" t="s">
        <v>308</v>
      </c>
      <c r="O77" t="str">
        <f>_xlfn.XLOOKUP(J77, reason[survey_id], reason[reason_for_purchase])</f>
        <v>pet-friendly or safe for children</v>
      </c>
      <c r="P77" t="s">
        <v>528</v>
      </c>
      <c r="Q77" t="s">
        <v>529</v>
      </c>
      <c r="R77" t="s">
        <v>530</v>
      </c>
    </row>
    <row r="78" spans="1:18" x14ac:dyDescent="0.3">
      <c r="A78" s="36"/>
      <c r="B78" s="36"/>
      <c r="C78" s="36"/>
      <c r="E78" s="40" t="s">
        <v>95</v>
      </c>
      <c r="F78" s="33">
        <v>5.0847457627118647E-2</v>
      </c>
      <c r="J78" t="s">
        <v>476</v>
      </c>
      <c r="K78" t="s">
        <v>35</v>
      </c>
      <c r="L78" t="str">
        <f>_xlfn.XLOOKUP(K78, plant_info[plant], plant_info[maintenance-requirements])</f>
        <v>low-maintenance</v>
      </c>
      <c r="M78" t="str">
        <f>_xlfn.XLOOKUP(responses[[#This Row],[plant_types]], plant_info[plant], plant_info[toxic])</f>
        <v>safe for pets &amp; children</v>
      </c>
      <c r="N78" t="s">
        <v>477</v>
      </c>
      <c r="O78" t="str">
        <f>_xlfn.XLOOKUP(J78, reason[survey_id], reason[reason_for_purchase])</f>
        <v>benefits</v>
      </c>
      <c r="P78" t="s">
        <v>538</v>
      </c>
      <c r="Q78" t="s">
        <v>534</v>
      </c>
      <c r="R78" t="s">
        <v>537</v>
      </c>
    </row>
    <row r="79" spans="1:18" x14ac:dyDescent="0.3">
      <c r="A79" s="36"/>
      <c r="B79" s="36"/>
      <c r="C79" s="36"/>
      <c r="E79" s="32" t="s">
        <v>543</v>
      </c>
      <c r="F79" s="33">
        <v>1.8433179723502304E-2</v>
      </c>
      <c r="J79" t="s">
        <v>490</v>
      </c>
      <c r="K79" t="s">
        <v>58</v>
      </c>
      <c r="L79" t="str">
        <f>_xlfn.XLOOKUP(K79, plant_info[plant], plant_info[maintenance-requirements])</f>
        <v>med-maintenance</v>
      </c>
      <c r="M79" t="str">
        <f>_xlfn.XLOOKUP(responses[[#This Row],[plant_types]], plant_info[plant], plant_info[toxic])</f>
        <v>safe for pets &amp; children</v>
      </c>
      <c r="N79" t="s">
        <v>491</v>
      </c>
      <c r="O79" t="str">
        <f>_xlfn.XLOOKUP(J79, reason[survey_id], reason[reason_for_purchase])</f>
        <v>care requirements</v>
      </c>
      <c r="P79" t="s">
        <v>528</v>
      </c>
      <c r="Q79" t="s">
        <v>539</v>
      </c>
      <c r="R79" t="s">
        <v>530</v>
      </c>
    </row>
    <row r="80" spans="1:18" x14ac:dyDescent="0.3">
      <c r="E80" s="40" t="s">
        <v>87</v>
      </c>
      <c r="F80" s="33">
        <v>0.5</v>
      </c>
      <c r="J80" t="s">
        <v>215</v>
      </c>
      <c r="K80" t="s">
        <v>72</v>
      </c>
      <c r="L80" t="str">
        <f>_xlfn.XLOOKUP(K80, plant_info[plant], plant_info[maintenance-requirements])</f>
        <v>low-maintenance</v>
      </c>
      <c r="M80" t="str">
        <f>_xlfn.XLOOKUP(responses[[#This Row],[plant_types]], plant_info[plant], plant_info[toxic])</f>
        <v>safe for pets &amp; children</v>
      </c>
      <c r="N80" t="s">
        <v>216</v>
      </c>
      <c r="O80" t="str">
        <f>_xlfn.XLOOKUP(J80, reason[survey_id], reason[reason_for_purchase])</f>
        <v>pet-friendly or safe for children</v>
      </c>
      <c r="P80" t="s">
        <v>528</v>
      </c>
      <c r="Q80" t="s">
        <v>541</v>
      </c>
      <c r="R80" t="s">
        <v>540</v>
      </c>
    </row>
    <row r="81" spans="5:18" x14ac:dyDescent="0.3">
      <c r="E81" s="40" t="s">
        <v>90</v>
      </c>
      <c r="F81" s="33">
        <v>0.25</v>
      </c>
      <c r="J81" t="s">
        <v>293</v>
      </c>
      <c r="K81" t="s">
        <v>68</v>
      </c>
      <c r="L81" t="str">
        <f>_xlfn.XLOOKUP(K81, plant_info[plant], plant_info[maintenance-requirements])</f>
        <v>low-maintenance</v>
      </c>
      <c r="M81" t="str">
        <f>_xlfn.XLOOKUP(responses[[#This Row],[plant_types]], plant_info[plant], plant_info[toxic])</f>
        <v>safe for pets &amp; children</v>
      </c>
      <c r="N81" t="s">
        <v>294</v>
      </c>
      <c r="O81" t="str">
        <f>_xlfn.XLOOKUP(J81, reason[survey_id], reason[reason_for_purchase])</f>
        <v>pet-friendly or safe for children</v>
      </c>
      <c r="P81" t="s">
        <v>528</v>
      </c>
      <c r="Q81" t="s">
        <v>529</v>
      </c>
      <c r="R81" t="s">
        <v>535</v>
      </c>
    </row>
    <row r="82" spans="5:18" x14ac:dyDescent="0.3">
      <c r="E82" s="40" t="s">
        <v>116</v>
      </c>
      <c r="F82" s="33">
        <v>0.25</v>
      </c>
      <c r="J82" t="s">
        <v>145</v>
      </c>
      <c r="K82" t="s">
        <v>70</v>
      </c>
      <c r="L82" t="str">
        <f>_xlfn.XLOOKUP(K82, plant_info[plant], plant_info[maintenance-requirements])</f>
        <v>low-maintenance</v>
      </c>
      <c r="M82" t="str">
        <f>_xlfn.XLOOKUP(responses[[#This Row],[plant_types]], plant_info[plant], plant_info[toxic])</f>
        <v>safe for pets &amp; children</v>
      </c>
      <c r="N82" t="s">
        <v>146</v>
      </c>
      <c r="O82" t="str">
        <f>_xlfn.XLOOKUP(J82, reason[survey_id], reason[reason_for_purchase])</f>
        <v>size</v>
      </c>
      <c r="P82" t="s">
        <v>533</v>
      </c>
      <c r="Q82" t="s">
        <v>541</v>
      </c>
      <c r="R82" t="s">
        <v>537</v>
      </c>
    </row>
    <row r="83" spans="5:18" x14ac:dyDescent="0.3">
      <c r="E83" s="32" t="s">
        <v>538</v>
      </c>
      <c r="F83" s="33">
        <v>0.19354838709677419</v>
      </c>
      <c r="J83" t="s">
        <v>341</v>
      </c>
      <c r="K83" t="s">
        <v>70</v>
      </c>
      <c r="L83" t="str">
        <f>_xlfn.XLOOKUP(K83, plant_info[plant], plant_info[maintenance-requirements])</f>
        <v>low-maintenance</v>
      </c>
      <c r="M83" t="str">
        <f>_xlfn.XLOOKUP(responses[[#This Row],[plant_types]], plant_info[plant], plant_info[toxic])</f>
        <v>safe for pets &amp; children</v>
      </c>
      <c r="N83" t="s">
        <v>342</v>
      </c>
      <c r="O83" t="str">
        <f>_xlfn.XLOOKUP(J83, reason[survey_id], reason[reason_for_purchase])</f>
        <v>care requirements</v>
      </c>
      <c r="P83" t="s">
        <v>528</v>
      </c>
      <c r="Q83" t="s">
        <v>536</v>
      </c>
      <c r="R83" t="s">
        <v>530</v>
      </c>
    </row>
    <row r="84" spans="5:18" x14ac:dyDescent="0.3">
      <c r="E84" s="40" t="s">
        <v>87</v>
      </c>
      <c r="F84" s="33">
        <v>0.30952380952380953</v>
      </c>
      <c r="J84" t="s">
        <v>423</v>
      </c>
      <c r="K84" t="s">
        <v>35</v>
      </c>
      <c r="L84" t="str">
        <f>_xlfn.XLOOKUP(K84, plant_info[plant], plant_info[maintenance-requirements])</f>
        <v>low-maintenance</v>
      </c>
      <c r="M84" t="str">
        <f>_xlfn.XLOOKUP(responses[[#This Row],[plant_types]], plant_info[plant], plant_info[toxic])</f>
        <v>safe for pets &amp; children</v>
      </c>
      <c r="N84" t="s">
        <v>424</v>
      </c>
      <c r="O84" t="str">
        <f>_xlfn.XLOOKUP(J84, reason[survey_id], reason[reason_for_purchase])</f>
        <v>care requirements</v>
      </c>
      <c r="P84" t="s">
        <v>531</v>
      </c>
      <c r="Q84" t="s">
        <v>536</v>
      </c>
      <c r="R84" t="s">
        <v>532</v>
      </c>
    </row>
    <row r="85" spans="5:18" x14ac:dyDescent="0.3">
      <c r="E85" s="40" t="s">
        <v>116</v>
      </c>
      <c r="F85" s="33">
        <v>0.19047619047619047</v>
      </c>
      <c r="J85" t="s">
        <v>135</v>
      </c>
      <c r="K85" t="s">
        <v>78</v>
      </c>
      <c r="L85" t="str">
        <f>_xlfn.XLOOKUP(K85, plant_info[plant], plant_info[maintenance-requirements])</f>
        <v>low-maintenance</v>
      </c>
      <c r="M85" t="str">
        <f>_xlfn.XLOOKUP(responses[[#This Row],[plant_types]], plant_info[plant], plant_info[toxic])</f>
        <v>safe for pets &amp; children</v>
      </c>
      <c r="N85" t="s">
        <v>136</v>
      </c>
      <c r="O85" t="str">
        <f>_xlfn.XLOOKUP(J85, reason[survey_id], reason[reason_for_purchase])</f>
        <v>benefits</v>
      </c>
      <c r="P85" t="s">
        <v>538</v>
      </c>
      <c r="Q85" t="s">
        <v>529</v>
      </c>
      <c r="R85" t="s">
        <v>532</v>
      </c>
    </row>
    <row r="86" spans="5:18" x14ac:dyDescent="0.3">
      <c r="E86" s="40" t="s">
        <v>90</v>
      </c>
      <c r="F86" s="33">
        <v>0.19047619047619047</v>
      </c>
      <c r="J86" t="s">
        <v>185</v>
      </c>
      <c r="K86" t="s">
        <v>67</v>
      </c>
      <c r="L86" t="str">
        <f>_xlfn.XLOOKUP(K86, plant_info[plant], plant_info[maintenance-requirements])</f>
        <v>high-maintenance</v>
      </c>
      <c r="M86" t="str">
        <f>_xlfn.XLOOKUP(responses[[#This Row],[plant_types]], plant_info[plant], plant_info[toxic])</f>
        <v>safe for pets &amp; children</v>
      </c>
      <c r="N86" t="s">
        <v>186</v>
      </c>
      <c r="O86" t="str">
        <f>_xlfn.XLOOKUP(J86, reason[survey_id], reason[reason_for_purchase])</f>
        <v>rare or unique species</v>
      </c>
      <c r="P86" t="s">
        <v>538</v>
      </c>
      <c r="Q86" t="s">
        <v>529</v>
      </c>
      <c r="R86" t="s">
        <v>532</v>
      </c>
    </row>
    <row r="87" spans="5:18" x14ac:dyDescent="0.3">
      <c r="E87" s="40" t="s">
        <v>105</v>
      </c>
      <c r="F87" s="33">
        <v>0.16666666666666666</v>
      </c>
      <c r="J87" t="s">
        <v>387</v>
      </c>
      <c r="K87" t="s">
        <v>72</v>
      </c>
      <c r="L87" t="str">
        <f>_xlfn.XLOOKUP(K87, plant_info[plant], plant_info[maintenance-requirements])</f>
        <v>low-maintenance</v>
      </c>
      <c r="M87" t="str">
        <f>_xlfn.XLOOKUP(responses[[#This Row],[plant_types]], plant_info[plant], plant_info[toxic])</f>
        <v>safe for pets &amp; children</v>
      </c>
      <c r="N87" t="s">
        <v>388</v>
      </c>
      <c r="O87" t="str">
        <f>_xlfn.XLOOKUP(J87, reason[survey_id], reason[reason_for_purchase])</f>
        <v>care requirements</v>
      </c>
      <c r="P87" t="s">
        <v>533</v>
      </c>
      <c r="Q87" t="s">
        <v>536</v>
      </c>
      <c r="R87" t="s">
        <v>530</v>
      </c>
    </row>
    <row r="88" spans="5:18" x14ac:dyDescent="0.3">
      <c r="E88" s="40" t="s">
        <v>100</v>
      </c>
      <c r="F88" s="33">
        <v>9.5238095238095233E-2</v>
      </c>
      <c r="J88" t="s">
        <v>441</v>
      </c>
      <c r="K88" t="s">
        <v>43</v>
      </c>
      <c r="L88" t="str">
        <f>_xlfn.XLOOKUP(K88, plant_info[plant], plant_info[maintenance-requirements])</f>
        <v>low-maintenance</v>
      </c>
      <c r="M88" t="str">
        <f>_xlfn.XLOOKUP(responses[[#This Row],[plant_types]], plant_info[plant], plant_info[toxic])</f>
        <v>safe for pets &amp; children</v>
      </c>
      <c r="N88" t="s">
        <v>442</v>
      </c>
      <c r="O88" t="str">
        <f>_xlfn.XLOOKUP(J88, reason[survey_id], reason[reason_for_purchase])</f>
        <v>rare or unique species</v>
      </c>
      <c r="P88" t="s">
        <v>538</v>
      </c>
      <c r="Q88" t="s">
        <v>529</v>
      </c>
      <c r="R88" t="s">
        <v>537</v>
      </c>
    </row>
    <row r="89" spans="5:18" x14ac:dyDescent="0.3">
      <c r="E89" s="40" t="s">
        <v>95</v>
      </c>
      <c r="F89" s="33">
        <v>4.7619047619047616E-2</v>
      </c>
      <c r="J89" t="s">
        <v>197</v>
      </c>
      <c r="K89" t="s">
        <v>55</v>
      </c>
      <c r="L89" t="str">
        <f>_xlfn.XLOOKUP(K89, plant_info[plant], plant_info[maintenance-requirements])</f>
        <v>low-maintenance</v>
      </c>
      <c r="M89" t="str">
        <f>_xlfn.XLOOKUP(responses[[#This Row],[plant_types]], plant_info[plant], plant_info[toxic])</f>
        <v>safe for pets &amp; children</v>
      </c>
      <c r="N89" t="s">
        <v>198</v>
      </c>
      <c r="O89" t="str">
        <f>_xlfn.XLOOKUP(J89, reason[survey_id], reason[reason_for_purchase])</f>
        <v>care requirements</v>
      </c>
      <c r="P89" t="s">
        <v>528</v>
      </c>
      <c r="Q89" t="s">
        <v>529</v>
      </c>
      <c r="R89" t="s">
        <v>540</v>
      </c>
    </row>
    <row r="90" spans="5:18" x14ac:dyDescent="0.3">
      <c r="E90" s="32" t="s">
        <v>533</v>
      </c>
      <c r="F90" s="33">
        <v>0.10138248847926268</v>
      </c>
      <c r="J90" t="s">
        <v>397</v>
      </c>
      <c r="K90" t="s">
        <v>83</v>
      </c>
      <c r="L90" t="str">
        <f>_xlfn.XLOOKUP(K90, plant_info[plant], plant_info[maintenance-requirements])</f>
        <v>med-maintenance</v>
      </c>
      <c r="M90" t="str">
        <f>_xlfn.XLOOKUP(responses[[#This Row],[plant_types]], plant_info[plant], plant_info[toxic])</f>
        <v>safe for pets &amp; children</v>
      </c>
      <c r="N90" t="s">
        <v>398</v>
      </c>
      <c r="O90" t="str">
        <f>_xlfn.XLOOKUP(J90, reason[survey_id], reason[reason_for_purchase])</f>
        <v>pet-friendly or safe for children</v>
      </c>
      <c r="P90" t="s">
        <v>528</v>
      </c>
      <c r="Q90" t="s">
        <v>539</v>
      </c>
      <c r="R90" t="s">
        <v>530</v>
      </c>
    </row>
    <row r="91" spans="5:18" x14ac:dyDescent="0.3">
      <c r="E91" s="40" t="s">
        <v>116</v>
      </c>
      <c r="F91" s="33">
        <v>0.27272727272727271</v>
      </c>
      <c r="J91" t="s">
        <v>139</v>
      </c>
      <c r="K91" t="s">
        <v>79</v>
      </c>
      <c r="L91" t="str">
        <f>_xlfn.XLOOKUP(K91, plant_info[plant], plant_info[maintenance-requirements])</f>
        <v>high-maintenance</v>
      </c>
      <c r="M91" t="str">
        <f>_xlfn.XLOOKUP(responses[[#This Row],[plant_types]], plant_info[plant], plant_info[toxic])</f>
        <v>safe for pets &amp; children</v>
      </c>
      <c r="N91" t="s">
        <v>140</v>
      </c>
      <c r="O91" t="str">
        <f>_xlfn.XLOOKUP(J91, reason[survey_id], reason[reason_for_purchase])</f>
        <v>care requirements</v>
      </c>
      <c r="P91" t="s">
        <v>528</v>
      </c>
      <c r="Q91" t="s">
        <v>529</v>
      </c>
      <c r="R91" t="s">
        <v>532</v>
      </c>
    </row>
    <row r="92" spans="5:18" x14ac:dyDescent="0.3">
      <c r="E92" s="40" t="s">
        <v>100</v>
      </c>
      <c r="F92" s="33">
        <v>0.22727272727272727</v>
      </c>
      <c r="J92" t="s">
        <v>439</v>
      </c>
      <c r="K92" t="s">
        <v>70</v>
      </c>
      <c r="L92" t="str">
        <f>_xlfn.XLOOKUP(K92, plant_info[plant], plant_info[maintenance-requirements])</f>
        <v>low-maintenance</v>
      </c>
      <c r="M92" t="str">
        <f>_xlfn.XLOOKUP(responses[[#This Row],[plant_types]], plant_info[plant], plant_info[toxic])</f>
        <v>safe for pets &amp; children</v>
      </c>
      <c r="N92" t="s">
        <v>440</v>
      </c>
      <c r="O92" t="str">
        <f>_xlfn.XLOOKUP(J92, reason[survey_id], reason[reason_for_purchase])</f>
        <v>rare or unique species</v>
      </c>
      <c r="P92" t="s">
        <v>533</v>
      </c>
      <c r="Q92" t="s">
        <v>529</v>
      </c>
      <c r="R92" t="s">
        <v>537</v>
      </c>
    </row>
    <row r="93" spans="5:18" x14ac:dyDescent="0.3">
      <c r="E93" s="40" t="s">
        <v>87</v>
      </c>
      <c r="F93" s="33">
        <v>0.22727272727272727</v>
      </c>
      <c r="J93" t="s">
        <v>510</v>
      </c>
      <c r="K93" t="s">
        <v>69</v>
      </c>
      <c r="L93" t="str">
        <f>_xlfn.XLOOKUP(K93, plant_info[plant], plant_info[maintenance-requirements])</f>
        <v>high-maintenance</v>
      </c>
      <c r="M93" t="str">
        <f>_xlfn.XLOOKUP(responses[[#This Row],[plant_types]], plant_info[plant], plant_info[toxic])</f>
        <v>safe for pets &amp; children</v>
      </c>
      <c r="N93" t="s">
        <v>511</v>
      </c>
      <c r="O93" t="str">
        <f>_xlfn.XLOOKUP(J93, reason[survey_id], reason[reason_for_purchase])</f>
        <v>care requirements</v>
      </c>
      <c r="P93" t="s">
        <v>538</v>
      </c>
      <c r="Q93" t="s">
        <v>536</v>
      </c>
      <c r="R93" t="s">
        <v>530</v>
      </c>
    </row>
    <row r="94" spans="5:18" x14ac:dyDescent="0.3">
      <c r="E94" s="40" t="s">
        <v>105</v>
      </c>
      <c r="F94" s="33">
        <v>0.13636363636363635</v>
      </c>
      <c r="J94" t="s">
        <v>399</v>
      </c>
      <c r="K94" t="s">
        <v>68</v>
      </c>
      <c r="L94" t="str">
        <f>_xlfn.XLOOKUP(K94, plant_info[plant], plant_info[maintenance-requirements])</f>
        <v>low-maintenance</v>
      </c>
      <c r="M94" t="str">
        <f>_xlfn.XLOOKUP(responses[[#This Row],[plant_types]], plant_info[plant], plant_info[toxic])</f>
        <v>safe for pets &amp; children</v>
      </c>
      <c r="N94" t="s">
        <v>400</v>
      </c>
      <c r="O94" t="str">
        <f>_xlfn.XLOOKUP(J94, reason[survey_id], reason[reason_for_purchase])</f>
        <v>pet-friendly or safe for children</v>
      </c>
      <c r="P94" t="s">
        <v>531</v>
      </c>
      <c r="Q94" t="s">
        <v>536</v>
      </c>
      <c r="R94" t="s">
        <v>535</v>
      </c>
    </row>
    <row r="95" spans="5:18" x14ac:dyDescent="0.3">
      <c r="E95" s="40" t="s">
        <v>90</v>
      </c>
      <c r="F95" s="33">
        <v>9.0909090909090912E-2</v>
      </c>
      <c r="J95" t="s">
        <v>484</v>
      </c>
      <c r="K95" t="s">
        <v>84</v>
      </c>
      <c r="L95" t="str">
        <f>_xlfn.XLOOKUP(K95, plant_info[plant], plant_info[maintenance-requirements])</f>
        <v>low-maintenance</v>
      </c>
      <c r="M95" t="str">
        <f>_xlfn.XLOOKUP(responses[[#This Row],[plant_types]], plant_info[plant], plant_info[toxic])</f>
        <v>safe for pets &amp; children</v>
      </c>
      <c r="N95" t="s">
        <v>485</v>
      </c>
      <c r="O95" t="str">
        <f>_xlfn.XLOOKUP(J95, reason[survey_id], reason[reason_for_purchase])</f>
        <v>rare or unique species</v>
      </c>
      <c r="P95" t="s">
        <v>528</v>
      </c>
      <c r="Q95" t="s">
        <v>536</v>
      </c>
      <c r="R95" t="s">
        <v>530</v>
      </c>
    </row>
    <row r="96" spans="5:18" x14ac:dyDescent="0.3">
      <c r="E96" s="40" t="s">
        <v>95</v>
      </c>
      <c r="F96" s="33">
        <v>4.5454545454545456E-2</v>
      </c>
      <c r="J96" t="s">
        <v>494</v>
      </c>
      <c r="K96" t="s">
        <v>68</v>
      </c>
      <c r="L96" t="str">
        <f>_xlfn.XLOOKUP(K96, plant_info[plant], plant_info[maintenance-requirements])</f>
        <v>low-maintenance</v>
      </c>
      <c r="M96" t="str">
        <f>_xlfn.XLOOKUP(responses[[#This Row],[plant_types]], plant_info[plant], plant_info[toxic])</f>
        <v>safe for pets &amp; children</v>
      </c>
      <c r="N96" t="s">
        <v>495</v>
      </c>
      <c r="O96" t="str">
        <f>_xlfn.XLOOKUP(J96, reason[survey_id], reason[reason_for_purchase])</f>
        <v>rare or unique species</v>
      </c>
      <c r="P96" t="s">
        <v>528</v>
      </c>
      <c r="Q96" t="s">
        <v>534</v>
      </c>
      <c r="R96" t="s">
        <v>530</v>
      </c>
    </row>
    <row r="97" spans="5:18" x14ac:dyDescent="0.3">
      <c r="E97" s="32" t="s">
        <v>576</v>
      </c>
      <c r="F97" s="33">
        <v>1</v>
      </c>
      <c r="J97" t="s">
        <v>201</v>
      </c>
      <c r="K97" t="s">
        <v>72</v>
      </c>
      <c r="L97" t="str">
        <f>_xlfn.XLOOKUP(K97, plant_info[plant], plant_info[maintenance-requirements])</f>
        <v>low-maintenance</v>
      </c>
      <c r="M97" t="str">
        <f>_xlfn.XLOOKUP(responses[[#This Row],[plant_types]], plant_info[plant], plant_info[toxic])</f>
        <v>safe for pets &amp; children</v>
      </c>
      <c r="N97" t="s">
        <v>202</v>
      </c>
      <c r="O97" t="str">
        <f>_xlfn.XLOOKUP(J97, reason[survey_id], reason[reason_for_purchase])</f>
        <v>rare or unique species</v>
      </c>
      <c r="P97" t="s">
        <v>531</v>
      </c>
      <c r="Q97" t="s">
        <v>536</v>
      </c>
      <c r="R97" t="s">
        <v>542</v>
      </c>
    </row>
    <row r="98" spans="5:18" x14ac:dyDescent="0.3">
      <c r="J98" t="s">
        <v>275</v>
      </c>
      <c r="K98" t="s">
        <v>70</v>
      </c>
      <c r="L98" t="str">
        <f>_xlfn.XLOOKUP(K98, plant_info[plant], plant_info[maintenance-requirements])</f>
        <v>low-maintenance</v>
      </c>
      <c r="M98" t="str">
        <f>_xlfn.XLOOKUP(responses[[#This Row],[plant_types]], plant_info[plant], plant_info[toxic])</f>
        <v>safe for pets &amp; children</v>
      </c>
      <c r="N98" t="s">
        <v>276</v>
      </c>
      <c r="O98" t="str">
        <f>_xlfn.XLOOKUP(J98, reason[survey_id], reason[reason_for_purchase])</f>
        <v>pet-friendly or safe for children</v>
      </c>
      <c r="P98" t="s">
        <v>531</v>
      </c>
      <c r="Q98" t="s">
        <v>539</v>
      </c>
      <c r="R98" t="s">
        <v>532</v>
      </c>
    </row>
    <row r="99" spans="5:18" x14ac:dyDescent="0.3">
      <c r="J99" t="s">
        <v>157</v>
      </c>
      <c r="K99" t="s">
        <v>55</v>
      </c>
      <c r="L99" t="str">
        <f>_xlfn.XLOOKUP(K99, plant_info[plant], plant_info[maintenance-requirements])</f>
        <v>low-maintenance</v>
      </c>
      <c r="M99" t="str">
        <f>_xlfn.XLOOKUP(responses[[#This Row],[plant_types]], plant_info[plant], plant_info[toxic])</f>
        <v>safe for pets &amp; children</v>
      </c>
      <c r="N99" t="s">
        <v>158</v>
      </c>
      <c r="O99" t="str">
        <f>_xlfn.XLOOKUP(J99, reason[survey_id], reason[reason_for_purchase])</f>
        <v>care requirements</v>
      </c>
      <c r="P99" t="s">
        <v>538</v>
      </c>
      <c r="Q99" t="s">
        <v>529</v>
      </c>
      <c r="R99" t="s">
        <v>532</v>
      </c>
    </row>
    <row r="100" spans="5:18" x14ac:dyDescent="0.3">
      <c r="J100" t="s">
        <v>267</v>
      </c>
      <c r="K100" t="s">
        <v>35</v>
      </c>
      <c r="L100" t="str">
        <f>_xlfn.XLOOKUP(K100, plant_info[plant], plant_info[maintenance-requirements])</f>
        <v>low-maintenance</v>
      </c>
      <c r="M100" t="str">
        <f>_xlfn.XLOOKUP(responses[[#This Row],[plant_types]], plant_info[plant], plant_info[toxic])</f>
        <v>safe for pets &amp; children</v>
      </c>
      <c r="N100" t="s">
        <v>268</v>
      </c>
      <c r="O100" t="str">
        <f>_xlfn.XLOOKUP(J100, reason[survey_id], reason[reason_for_purchase])</f>
        <v>care requirements</v>
      </c>
      <c r="P100" t="s">
        <v>533</v>
      </c>
      <c r="Q100" t="s">
        <v>534</v>
      </c>
      <c r="R100" t="s">
        <v>532</v>
      </c>
    </row>
    <row r="101" spans="5:18" x14ac:dyDescent="0.3">
      <c r="J101" t="s">
        <v>289</v>
      </c>
      <c r="K101" t="s">
        <v>68</v>
      </c>
      <c r="L101" t="str">
        <f>_xlfn.XLOOKUP(K101, plant_info[plant], plant_info[maintenance-requirements])</f>
        <v>low-maintenance</v>
      </c>
      <c r="M101" t="str">
        <f>_xlfn.XLOOKUP(responses[[#This Row],[plant_types]], plant_info[plant], plant_info[toxic])</f>
        <v>safe for pets &amp; children</v>
      </c>
      <c r="N101" t="s">
        <v>290</v>
      </c>
      <c r="O101" t="str">
        <f>_xlfn.XLOOKUP(J101, reason[survey_id], reason[reason_for_purchase])</f>
        <v>benefits</v>
      </c>
      <c r="P101" t="s">
        <v>531</v>
      </c>
      <c r="Q101" t="s">
        <v>534</v>
      </c>
      <c r="R101" t="s">
        <v>532</v>
      </c>
    </row>
    <row r="102" spans="5:18" x14ac:dyDescent="0.3">
      <c r="J102" t="s">
        <v>231</v>
      </c>
      <c r="K102" t="s">
        <v>70</v>
      </c>
      <c r="L102" t="str">
        <f>_xlfn.XLOOKUP(K102, plant_info[plant], plant_info[maintenance-requirements])</f>
        <v>low-maintenance</v>
      </c>
      <c r="M102" t="str">
        <f>_xlfn.XLOOKUP(responses[[#This Row],[plant_types]], plant_info[plant], plant_info[toxic])</f>
        <v>safe for pets &amp; children</v>
      </c>
      <c r="N102" t="s">
        <v>232</v>
      </c>
      <c r="O102" t="str">
        <f>_xlfn.XLOOKUP(J102, reason[survey_id], reason[reason_for_purchase])</f>
        <v>benefits</v>
      </c>
      <c r="P102" t="s">
        <v>538</v>
      </c>
      <c r="Q102" t="s">
        <v>529</v>
      </c>
      <c r="R102" t="s">
        <v>540</v>
      </c>
    </row>
    <row r="103" spans="5:18" x14ac:dyDescent="0.3">
      <c r="J103" t="s">
        <v>467</v>
      </c>
      <c r="K103" t="s">
        <v>55</v>
      </c>
      <c r="L103" t="str">
        <f>_xlfn.XLOOKUP(K103, plant_info[plant], plant_info[maintenance-requirements])</f>
        <v>low-maintenance</v>
      </c>
      <c r="M103" t="str">
        <f>_xlfn.XLOOKUP(responses[[#This Row],[plant_types]], plant_info[plant], plant_info[toxic])</f>
        <v>safe for pets &amp; children</v>
      </c>
      <c r="N103" t="s">
        <v>468</v>
      </c>
      <c r="O103" t="str">
        <f>_xlfn.XLOOKUP(J103, reason[survey_id], reason[reason_for_purchase])</f>
        <v>price</v>
      </c>
      <c r="P103" t="s">
        <v>531</v>
      </c>
      <c r="Q103" t="s">
        <v>529</v>
      </c>
      <c r="R103" t="s">
        <v>537</v>
      </c>
    </row>
    <row r="104" spans="5:18" x14ac:dyDescent="0.3">
      <c r="J104" t="s">
        <v>108</v>
      </c>
      <c r="K104" t="s">
        <v>50</v>
      </c>
      <c r="L104" t="str">
        <f>_xlfn.XLOOKUP(K104, plant_info[plant], plant_info[maintenance-requirements])</f>
        <v>med-maintenance</v>
      </c>
      <c r="M104" t="str">
        <f>_xlfn.XLOOKUP(responses[[#This Row],[plant_types]], plant_info[plant], plant_info[toxic])</f>
        <v>safe for pets &amp; children</v>
      </c>
      <c r="N104" t="s">
        <v>109</v>
      </c>
      <c r="O104" t="str">
        <f>_xlfn.XLOOKUP(J104, reason[survey_id], reason[reason_for_purchase])</f>
        <v>benefits</v>
      </c>
      <c r="P104" t="s">
        <v>531</v>
      </c>
      <c r="Q104" t="s">
        <v>539</v>
      </c>
      <c r="R104" t="s">
        <v>537</v>
      </c>
    </row>
    <row r="105" spans="5:18" x14ac:dyDescent="0.3">
      <c r="J105" t="s">
        <v>514</v>
      </c>
      <c r="K105" t="s">
        <v>70</v>
      </c>
      <c r="L105" t="str">
        <f>_xlfn.XLOOKUP(K105, plant_info[plant], plant_info[maintenance-requirements])</f>
        <v>low-maintenance</v>
      </c>
      <c r="M105" t="str">
        <f>_xlfn.XLOOKUP(responses[[#This Row],[plant_types]], plant_info[plant], plant_info[toxic])</f>
        <v>safe for pets &amp; children</v>
      </c>
      <c r="N105" t="s">
        <v>515</v>
      </c>
      <c r="O105" t="str">
        <f>_xlfn.XLOOKUP(J105, reason[survey_id], reason[reason_for_purchase])</f>
        <v>pet-friendly or safe for children</v>
      </c>
      <c r="P105" t="s">
        <v>538</v>
      </c>
      <c r="Q105" t="s">
        <v>536</v>
      </c>
      <c r="R105" t="s">
        <v>537</v>
      </c>
    </row>
    <row r="106" spans="5:18" x14ac:dyDescent="0.3">
      <c r="J106" t="s">
        <v>506</v>
      </c>
      <c r="K106" t="s">
        <v>78</v>
      </c>
      <c r="L106" t="str">
        <f>_xlfn.XLOOKUP(K106, plant_info[plant], plant_info[maintenance-requirements])</f>
        <v>low-maintenance</v>
      </c>
      <c r="M106" t="str">
        <f>_xlfn.XLOOKUP(responses[[#This Row],[plant_types]], plant_info[plant], plant_info[toxic])</f>
        <v>safe for pets &amp; children</v>
      </c>
      <c r="N106" t="s">
        <v>507</v>
      </c>
      <c r="O106" t="str">
        <f>_xlfn.XLOOKUP(J106, reason[survey_id], reason[reason_for_purchase])</f>
        <v>size</v>
      </c>
      <c r="P106" t="s">
        <v>528</v>
      </c>
      <c r="Q106" t="s">
        <v>539</v>
      </c>
      <c r="R106" t="s">
        <v>537</v>
      </c>
    </row>
    <row r="107" spans="5:18" x14ac:dyDescent="0.3">
      <c r="J107" t="s">
        <v>151</v>
      </c>
      <c r="K107" t="s">
        <v>70</v>
      </c>
      <c r="L107" t="str">
        <f>_xlfn.XLOOKUP(K107, plant_info[plant], plant_info[maintenance-requirements])</f>
        <v>low-maintenance</v>
      </c>
      <c r="M107" t="str">
        <f>_xlfn.XLOOKUP(responses[[#This Row],[plant_types]], plant_info[plant], plant_info[toxic])</f>
        <v>safe for pets &amp; children</v>
      </c>
      <c r="N107" t="s">
        <v>152</v>
      </c>
      <c r="O107" t="str">
        <f>_xlfn.XLOOKUP(J107, reason[survey_id], reason[reason_for_purchase])</f>
        <v>pet-friendly or safe for children</v>
      </c>
      <c r="P107" t="s">
        <v>533</v>
      </c>
      <c r="Q107" t="s">
        <v>534</v>
      </c>
      <c r="R107" t="s">
        <v>532</v>
      </c>
    </row>
    <row r="108" spans="5:18" x14ac:dyDescent="0.3">
      <c r="J108" t="s">
        <v>125</v>
      </c>
      <c r="K108" t="s">
        <v>43</v>
      </c>
      <c r="L108" t="str">
        <f>_xlfn.XLOOKUP(K108, plant_info[plant], plant_info[maintenance-requirements])</f>
        <v>low-maintenance</v>
      </c>
      <c r="M108" t="str">
        <f>_xlfn.XLOOKUP(responses[[#This Row],[plant_types]], plant_info[plant], plant_info[toxic])</f>
        <v>safe for pets &amp; children</v>
      </c>
      <c r="N108" t="s">
        <v>126</v>
      </c>
      <c r="O108" t="str">
        <f>_xlfn.XLOOKUP(J108, reason[survey_id], reason[reason_for_purchase])</f>
        <v>rare or unique species</v>
      </c>
      <c r="P108" t="s">
        <v>538</v>
      </c>
      <c r="Q108" t="s">
        <v>534</v>
      </c>
      <c r="R108" t="s">
        <v>542</v>
      </c>
    </row>
    <row r="109" spans="5:18" x14ac:dyDescent="0.3">
      <c r="J109" t="s">
        <v>524</v>
      </c>
      <c r="K109" t="s">
        <v>35</v>
      </c>
      <c r="L109" t="str">
        <f>_xlfn.XLOOKUP(K109, plant_info[plant], plant_info[maintenance-requirements])</f>
        <v>low-maintenance</v>
      </c>
      <c r="M109" t="str">
        <f>_xlfn.XLOOKUP(responses[[#This Row],[plant_types]], plant_info[plant], plant_info[toxic])</f>
        <v>safe for pets &amp; children</v>
      </c>
      <c r="N109" t="s">
        <v>525</v>
      </c>
      <c r="O109" t="str">
        <f>_xlfn.XLOOKUP(J109, reason[survey_id], reason[reason_for_purchase])</f>
        <v>pet-friendly or safe for children</v>
      </c>
      <c r="P109" t="s">
        <v>531</v>
      </c>
      <c r="Q109" t="s">
        <v>536</v>
      </c>
      <c r="R109" t="s">
        <v>537</v>
      </c>
    </row>
    <row r="110" spans="5:18" x14ac:dyDescent="0.3">
      <c r="J110" t="s">
        <v>183</v>
      </c>
      <c r="K110" t="s">
        <v>84</v>
      </c>
      <c r="L110" t="str">
        <f>_xlfn.XLOOKUP(K110, plant_info[plant], plant_info[maintenance-requirements])</f>
        <v>low-maintenance</v>
      </c>
      <c r="M110" t="str">
        <f>_xlfn.XLOOKUP(responses[[#This Row],[plant_types]], plant_info[plant], plant_info[toxic])</f>
        <v>safe for pets &amp; children</v>
      </c>
      <c r="N110" t="s">
        <v>184</v>
      </c>
      <c r="O110" t="str">
        <f>_xlfn.XLOOKUP(J110, reason[survey_id], reason[reason_for_purchase])</f>
        <v>benefits</v>
      </c>
      <c r="P110" t="s">
        <v>528</v>
      </c>
      <c r="Q110" t="s">
        <v>529</v>
      </c>
      <c r="R110" t="s">
        <v>535</v>
      </c>
    </row>
    <row r="111" spans="5:18" x14ac:dyDescent="0.3">
      <c r="J111" t="s">
        <v>415</v>
      </c>
      <c r="K111" t="s">
        <v>72</v>
      </c>
      <c r="L111" t="str">
        <f>_xlfn.XLOOKUP(K111, plant_info[plant], plant_info[maintenance-requirements])</f>
        <v>low-maintenance</v>
      </c>
      <c r="M111" t="str">
        <f>_xlfn.XLOOKUP(responses[[#This Row],[plant_types]], plant_info[plant], plant_info[toxic])</f>
        <v>safe for pets &amp; children</v>
      </c>
      <c r="N111" t="s">
        <v>416</v>
      </c>
      <c r="O111" t="str">
        <f>_xlfn.XLOOKUP(J111, reason[survey_id], reason[reason_for_purchase])</f>
        <v>pet-friendly or safe for children</v>
      </c>
      <c r="P111" t="s">
        <v>528</v>
      </c>
      <c r="Q111" t="s">
        <v>529</v>
      </c>
      <c r="R111" t="s">
        <v>532</v>
      </c>
    </row>
    <row r="112" spans="5:18" x14ac:dyDescent="0.3">
      <c r="J112" t="s">
        <v>213</v>
      </c>
      <c r="K112" t="s">
        <v>70</v>
      </c>
      <c r="L112" t="str">
        <f>_xlfn.XLOOKUP(K112, plant_info[plant], plant_info[maintenance-requirements])</f>
        <v>low-maintenance</v>
      </c>
      <c r="M112" t="str">
        <f>_xlfn.XLOOKUP(responses[[#This Row],[plant_types]], plant_info[plant], plant_info[toxic])</f>
        <v>safe for pets &amp; children</v>
      </c>
      <c r="N112" t="s">
        <v>214</v>
      </c>
      <c r="O112" t="str">
        <f>_xlfn.XLOOKUP(J112, reason[survey_id], reason[reason_for_purchase])</f>
        <v>pet-friendly or safe for children</v>
      </c>
      <c r="P112" t="s">
        <v>528</v>
      </c>
      <c r="Q112" t="s">
        <v>536</v>
      </c>
      <c r="R112" t="s">
        <v>535</v>
      </c>
    </row>
    <row r="113" spans="10:18" x14ac:dyDescent="0.3">
      <c r="J113" t="s">
        <v>167</v>
      </c>
      <c r="K113" t="s">
        <v>78</v>
      </c>
      <c r="L113" t="str">
        <f>_xlfn.XLOOKUP(K113, plant_info[plant], plant_info[maintenance-requirements])</f>
        <v>low-maintenance</v>
      </c>
      <c r="M113" t="str">
        <f>_xlfn.XLOOKUP(responses[[#This Row],[plant_types]], plant_info[plant], plant_info[toxic])</f>
        <v>safe for pets &amp; children</v>
      </c>
      <c r="N113" t="s">
        <v>168</v>
      </c>
      <c r="O113" t="str">
        <f>_xlfn.XLOOKUP(J113, reason[survey_id], reason[reason_for_purchase])</f>
        <v>pet-friendly or safe for children</v>
      </c>
      <c r="P113" t="s">
        <v>528</v>
      </c>
      <c r="Q113" t="s">
        <v>536</v>
      </c>
      <c r="R113" t="s">
        <v>535</v>
      </c>
    </row>
    <row r="114" spans="10:18" x14ac:dyDescent="0.3">
      <c r="J114" t="s">
        <v>263</v>
      </c>
      <c r="K114" t="s">
        <v>43</v>
      </c>
      <c r="L114" t="str">
        <f>_xlfn.XLOOKUP(K114, plant_info[plant], plant_info[maintenance-requirements])</f>
        <v>low-maintenance</v>
      </c>
      <c r="M114" t="str">
        <f>_xlfn.XLOOKUP(responses[[#This Row],[plant_types]], plant_info[plant], plant_info[toxic])</f>
        <v>safe for pets &amp; children</v>
      </c>
      <c r="N114" t="s">
        <v>264</v>
      </c>
      <c r="O114" t="str">
        <f>_xlfn.XLOOKUP(J114, reason[survey_id], reason[reason_for_purchase])</f>
        <v>benefits</v>
      </c>
      <c r="P114" t="s">
        <v>528</v>
      </c>
      <c r="Q114" t="s">
        <v>534</v>
      </c>
      <c r="R114" t="s">
        <v>532</v>
      </c>
    </row>
    <row r="115" spans="10:18" x14ac:dyDescent="0.3">
      <c r="J115" t="s">
        <v>361</v>
      </c>
      <c r="K115" t="s">
        <v>35</v>
      </c>
      <c r="L115" t="str">
        <f>_xlfn.XLOOKUP(K115, plant_info[plant], plant_info[maintenance-requirements])</f>
        <v>low-maintenance</v>
      </c>
      <c r="M115" t="str">
        <f>_xlfn.XLOOKUP(responses[[#This Row],[plant_types]], plant_info[plant], plant_info[toxic])</f>
        <v>safe for pets &amp; children</v>
      </c>
      <c r="N115" t="s">
        <v>362</v>
      </c>
      <c r="O115" t="str">
        <f>_xlfn.XLOOKUP(J115, reason[survey_id], reason[reason_for_purchase])</f>
        <v>pet-friendly or safe for children</v>
      </c>
      <c r="P115" t="s">
        <v>531</v>
      </c>
      <c r="Q115" t="s">
        <v>529</v>
      </c>
      <c r="R115" t="s">
        <v>532</v>
      </c>
    </row>
    <row r="116" spans="10:18" x14ac:dyDescent="0.3">
      <c r="J116" t="s">
        <v>465</v>
      </c>
      <c r="K116" t="s">
        <v>84</v>
      </c>
      <c r="L116" t="str">
        <f>_xlfn.XLOOKUP(K116, plant_info[plant], plant_info[maintenance-requirements])</f>
        <v>low-maintenance</v>
      </c>
      <c r="M116" t="str">
        <f>_xlfn.XLOOKUP(responses[[#This Row],[plant_types]], plant_info[plant], plant_info[toxic])</f>
        <v>safe for pets &amp; children</v>
      </c>
      <c r="N116" t="s">
        <v>466</v>
      </c>
      <c r="O116" t="str">
        <f>_xlfn.XLOOKUP(J116, reason[survey_id], reason[reason_for_purchase])</f>
        <v>rare or unique species</v>
      </c>
      <c r="P116" t="s">
        <v>528</v>
      </c>
      <c r="Q116" t="s">
        <v>529</v>
      </c>
      <c r="R116" t="s">
        <v>530</v>
      </c>
    </row>
    <row r="117" spans="10:18" x14ac:dyDescent="0.3">
      <c r="J117" t="s">
        <v>471</v>
      </c>
      <c r="K117" t="s">
        <v>35</v>
      </c>
      <c r="L117" t="str">
        <f>_xlfn.XLOOKUP(K117, plant_info[plant], plant_info[maintenance-requirements])</f>
        <v>low-maintenance</v>
      </c>
      <c r="M117" t="str">
        <f>_xlfn.XLOOKUP(responses[[#This Row],[plant_types]], plant_info[plant], plant_info[toxic])</f>
        <v>safe for pets &amp; children</v>
      </c>
      <c r="N117" t="s">
        <v>472</v>
      </c>
      <c r="O117" t="str">
        <f>_xlfn.XLOOKUP(J117, reason[survey_id], reason[reason_for_purchase])</f>
        <v>care requirements</v>
      </c>
      <c r="P117" t="s">
        <v>538</v>
      </c>
      <c r="Q117" t="s">
        <v>536</v>
      </c>
      <c r="R117" t="s">
        <v>537</v>
      </c>
    </row>
    <row r="118" spans="10:18" x14ac:dyDescent="0.3">
      <c r="J118" t="s">
        <v>211</v>
      </c>
      <c r="K118" t="s">
        <v>68</v>
      </c>
      <c r="L118" t="str">
        <f>_xlfn.XLOOKUP(K118, plant_info[plant], plant_info[maintenance-requirements])</f>
        <v>low-maintenance</v>
      </c>
      <c r="M118" t="str">
        <f>_xlfn.XLOOKUP(responses[[#This Row],[plant_types]], plant_info[plant], plant_info[toxic])</f>
        <v>safe for pets &amp; children</v>
      </c>
      <c r="N118" t="s">
        <v>212</v>
      </c>
      <c r="O118" t="str">
        <f>_xlfn.XLOOKUP(J118, reason[survey_id], reason[reason_for_purchase])</f>
        <v>care requirements</v>
      </c>
      <c r="P118" t="s">
        <v>528</v>
      </c>
      <c r="Q118" t="s">
        <v>536</v>
      </c>
      <c r="R118" t="s">
        <v>537</v>
      </c>
    </row>
    <row r="119" spans="10:18" x14ac:dyDescent="0.3">
      <c r="J119" t="s">
        <v>469</v>
      </c>
      <c r="K119" t="s">
        <v>39</v>
      </c>
      <c r="L119" t="str">
        <f>_xlfn.XLOOKUP(K119, plant_info[plant], plant_info[maintenance-requirements])</f>
        <v>med-maintenance</v>
      </c>
      <c r="M119" t="str">
        <f>_xlfn.XLOOKUP(responses[[#This Row],[plant_types]], plant_info[plant], plant_info[toxic])</f>
        <v>safe for pets &amp; children</v>
      </c>
      <c r="N119" t="s">
        <v>470</v>
      </c>
      <c r="O119" t="str">
        <f>_xlfn.XLOOKUP(J119, reason[survey_id], reason[reason_for_purchase])</f>
        <v>rare or unique species</v>
      </c>
      <c r="P119" t="s">
        <v>531</v>
      </c>
      <c r="Q119" t="s">
        <v>539</v>
      </c>
      <c r="R119" t="s">
        <v>530</v>
      </c>
    </row>
    <row r="120" spans="10:18" x14ac:dyDescent="0.3">
      <c r="J120" t="s">
        <v>325</v>
      </c>
      <c r="K120" t="s">
        <v>78</v>
      </c>
      <c r="L120" t="str">
        <f>_xlfn.XLOOKUP(K120, plant_info[plant], plant_info[maintenance-requirements])</f>
        <v>low-maintenance</v>
      </c>
      <c r="M120" t="str">
        <f>_xlfn.XLOOKUP(responses[[#This Row],[plant_types]], plant_info[plant], plant_info[toxic])</f>
        <v>safe for pets &amp; children</v>
      </c>
      <c r="N120" t="s">
        <v>326</v>
      </c>
      <c r="O120" t="str">
        <f>_xlfn.XLOOKUP(J120, reason[survey_id], reason[reason_for_purchase])</f>
        <v>care requirements</v>
      </c>
      <c r="P120" t="s">
        <v>533</v>
      </c>
      <c r="Q120" t="s">
        <v>529</v>
      </c>
      <c r="R120" t="s">
        <v>530</v>
      </c>
    </row>
    <row r="121" spans="10:18" x14ac:dyDescent="0.3">
      <c r="J121" t="s">
        <v>311</v>
      </c>
      <c r="K121" t="s">
        <v>50</v>
      </c>
      <c r="L121" t="str">
        <f>_xlfn.XLOOKUP(K121, plant_info[plant], plant_info[maintenance-requirements])</f>
        <v>med-maintenance</v>
      </c>
      <c r="M121" t="str">
        <f>_xlfn.XLOOKUP(responses[[#This Row],[plant_types]], plant_info[plant], plant_info[toxic])</f>
        <v>safe for pets &amp; children</v>
      </c>
      <c r="N121" t="s">
        <v>312</v>
      </c>
      <c r="O121" t="str">
        <f>_xlfn.XLOOKUP(J121, reason[survey_id], reason[reason_for_purchase])</f>
        <v>rare or unique species</v>
      </c>
      <c r="P121" t="s">
        <v>538</v>
      </c>
      <c r="Q121" t="s">
        <v>534</v>
      </c>
      <c r="R121" t="s">
        <v>530</v>
      </c>
    </row>
    <row r="122" spans="10:18" x14ac:dyDescent="0.3">
      <c r="J122" t="s">
        <v>223</v>
      </c>
      <c r="K122" t="s">
        <v>72</v>
      </c>
      <c r="L122" t="str">
        <f>_xlfn.XLOOKUP(K122, plant_info[plant], plant_info[maintenance-requirements])</f>
        <v>low-maintenance</v>
      </c>
      <c r="M122" t="str">
        <f>_xlfn.XLOOKUP(responses[[#This Row],[plant_types]], plant_info[plant], plant_info[toxic])</f>
        <v>safe for pets &amp; children</v>
      </c>
      <c r="N122" t="s">
        <v>224</v>
      </c>
      <c r="O122" t="str">
        <f>_xlfn.XLOOKUP(J122, reason[survey_id], reason[reason_for_purchase])</f>
        <v>pet-friendly or safe for children</v>
      </c>
      <c r="P122" t="s">
        <v>543</v>
      </c>
      <c r="Q122" t="s">
        <v>529</v>
      </c>
      <c r="R122" t="s">
        <v>530</v>
      </c>
    </row>
    <row r="123" spans="10:18" x14ac:dyDescent="0.3">
      <c r="J123" t="s">
        <v>347</v>
      </c>
      <c r="K123" t="s">
        <v>43</v>
      </c>
      <c r="L123" t="str">
        <f>_xlfn.XLOOKUP(K123, plant_info[plant], plant_info[maintenance-requirements])</f>
        <v>low-maintenance</v>
      </c>
      <c r="M123" t="str">
        <f>_xlfn.XLOOKUP(responses[[#This Row],[plant_types]], plant_info[plant], plant_info[toxic])</f>
        <v>safe for pets &amp; children</v>
      </c>
      <c r="N123" t="s">
        <v>348</v>
      </c>
      <c r="O123" t="str">
        <f>_xlfn.XLOOKUP(J123, reason[survey_id], reason[reason_for_purchase])</f>
        <v>benefits</v>
      </c>
      <c r="P123" t="s">
        <v>528</v>
      </c>
      <c r="Q123" t="s">
        <v>536</v>
      </c>
      <c r="R123" t="s">
        <v>530</v>
      </c>
    </row>
    <row r="124" spans="10:18" x14ac:dyDescent="0.3">
      <c r="J124" t="s">
        <v>405</v>
      </c>
      <c r="K124" t="s">
        <v>72</v>
      </c>
      <c r="L124" t="str">
        <f>_xlfn.XLOOKUP(K124, plant_info[plant], plant_info[maintenance-requirements])</f>
        <v>low-maintenance</v>
      </c>
      <c r="M124" t="str">
        <f>_xlfn.XLOOKUP(responses[[#This Row],[plant_types]], plant_info[plant], plant_info[toxic])</f>
        <v>safe for pets &amp; children</v>
      </c>
      <c r="N124" t="s">
        <v>406</v>
      </c>
      <c r="O124" t="str">
        <f>_xlfn.XLOOKUP(J124, reason[survey_id], reason[reason_for_purchase])</f>
        <v>care requirements</v>
      </c>
      <c r="P124" t="s">
        <v>531</v>
      </c>
      <c r="Q124" t="s">
        <v>534</v>
      </c>
      <c r="R124" t="s">
        <v>530</v>
      </c>
    </row>
    <row r="125" spans="10:18" x14ac:dyDescent="0.3">
      <c r="J125" t="s">
        <v>127</v>
      </c>
      <c r="K125" t="s">
        <v>58</v>
      </c>
      <c r="L125" t="str">
        <f>_xlfn.XLOOKUP(K125, plant_info[plant], plant_info[maintenance-requirements])</f>
        <v>med-maintenance</v>
      </c>
      <c r="M125" t="str">
        <f>_xlfn.XLOOKUP(responses[[#This Row],[plant_types]], plant_info[plant], plant_info[toxic])</f>
        <v>safe for pets &amp; children</v>
      </c>
      <c r="N125" t="s">
        <v>128</v>
      </c>
      <c r="O125" t="str">
        <f>_xlfn.XLOOKUP(J125, reason[survey_id], reason[reason_for_purchase])</f>
        <v>rare or unique species</v>
      </c>
      <c r="P125" t="s">
        <v>538</v>
      </c>
      <c r="Q125" t="s">
        <v>534</v>
      </c>
      <c r="R125" t="s">
        <v>535</v>
      </c>
    </row>
    <row r="126" spans="10:18" x14ac:dyDescent="0.3">
      <c r="J126" t="s">
        <v>381</v>
      </c>
      <c r="K126" t="s">
        <v>35</v>
      </c>
      <c r="L126" t="str">
        <f>_xlfn.XLOOKUP(K126, plant_info[plant], plant_info[maintenance-requirements])</f>
        <v>low-maintenance</v>
      </c>
      <c r="M126" t="str">
        <f>_xlfn.XLOOKUP(responses[[#This Row],[plant_types]], plant_info[plant], plant_info[toxic])</f>
        <v>safe for pets &amp; children</v>
      </c>
      <c r="N126" t="s">
        <v>382</v>
      </c>
      <c r="O126" t="str">
        <f>_xlfn.XLOOKUP(J126, reason[survey_id], reason[reason_for_purchase])</f>
        <v>care requirements</v>
      </c>
      <c r="P126" t="s">
        <v>528</v>
      </c>
      <c r="Q126" t="s">
        <v>529</v>
      </c>
      <c r="R126" t="s">
        <v>532</v>
      </c>
    </row>
    <row r="127" spans="10:18" x14ac:dyDescent="0.3">
      <c r="J127" t="s">
        <v>283</v>
      </c>
      <c r="K127" t="s">
        <v>71</v>
      </c>
      <c r="L127" t="str">
        <f>_xlfn.XLOOKUP(K127, plant_info[plant], plant_info[maintenance-requirements])</f>
        <v>med-maintenance</v>
      </c>
      <c r="M127" t="str">
        <f>_xlfn.XLOOKUP(responses[[#This Row],[plant_types]], plant_info[plant], plant_info[toxic])</f>
        <v>safe for pets &amp; children</v>
      </c>
      <c r="N127" t="s">
        <v>284</v>
      </c>
      <c r="O127" t="str">
        <f>_xlfn.XLOOKUP(J127, reason[survey_id], reason[reason_for_purchase])</f>
        <v>size</v>
      </c>
      <c r="P127" t="s">
        <v>538</v>
      </c>
      <c r="Q127" t="s">
        <v>529</v>
      </c>
      <c r="R127" t="s">
        <v>532</v>
      </c>
    </row>
    <row r="128" spans="10:18" x14ac:dyDescent="0.3">
      <c r="J128" t="s">
        <v>482</v>
      </c>
      <c r="K128" t="s">
        <v>78</v>
      </c>
      <c r="L128" t="str">
        <f>_xlfn.XLOOKUP(K128, plant_info[plant], plant_info[maintenance-requirements])</f>
        <v>low-maintenance</v>
      </c>
      <c r="M128" t="str">
        <f>_xlfn.XLOOKUP(responses[[#This Row],[plant_types]], plant_info[plant], plant_info[toxic])</f>
        <v>safe for pets &amp; children</v>
      </c>
      <c r="N128" t="s">
        <v>483</v>
      </c>
      <c r="O128" t="str">
        <f>_xlfn.XLOOKUP(J128, reason[survey_id], reason[reason_for_purchase])</f>
        <v>care requirements</v>
      </c>
      <c r="P128" t="s">
        <v>528</v>
      </c>
      <c r="Q128" t="s">
        <v>536</v>
      </c>
      <c r="R128" t="s">
        <v>530</v>
      </c>
    </row>
    <row r="129" spans="10:18" x14ac:dyDescent="0.3">
      <c r="J129" t="s">
        <v>331</v>
      </c>
      <c r="K129" t="s">
        <v>78</v>
      </c>
      <c r="L129" t="str">
        <f>_xlfn.XLOOKUP(K129, plant_info[plant], plant_info[maintenance-requirements])</f>
        <v>low-maintenance</v>
      </c>
      <c r="M129" t="str">
        <f>_xlfn.XLOOKUP(responses[[#This Row],[plant_types]], plant_info[plant], plant_info[toxic])</f>
        <v>safe for pets &amp; children</v>
      </c>
      <c r="N129" t="s">
        <v>332</v>
      </c>
      <c r="O129" t="str">
        <f>_xlfn.XLOOKUP(J129, reason[survey_id], reason[reason_for_purchase])</f>
        <v>rare or unique species</v>
      </c>
      <c r="P129" t="s">
        <v>528</v>
      </c>
      <c r="Q129" t="s">
        <v>539</v>
      </c>
      <c r="R129" t="s">
        <v>535</v>
      </c>
    </row>
    <row r="130" spans="10:18" x14ac:dyDescent="0.3">
      <c r="J130" t="s">
        <v>508</v>
      </c>
      <c r="K130" t="s">
        <v>78</v>
      </c>
      <c r="L130" t="str">
        <f>_xlfn.XLOOKUP(K130, plant_info[plant], plant_info[maintenance-requirements])</f>
        <v>low-maintenance</v>
      </c>
      <c r="M130" t="str">
        <f>_xlfn.XLOOKUP(responses[[#This Row],[plant_types]], plant_info[plant], plant_info[toxic])</f>
        <v>safe for pets &amp; children</v>
      </c>
      <c r="N130" t="s">
        <v>509</v>
      </c>
      <c r="O130" t="str">
        <f>_xlfn.XLOOKUP(J130, reason[survey_id], reason[reason_for_purchase])</f>
        <v>benefits</v>
      </c>
      <c r="P130" t="s">
        <v>538</v>
      </c>
      <c r="Q130" t="s">
        <v>534</v>
      </c>
      <c r="R130" t="s">
        <v>530</v>
      </c>
    </row>
    <row r="131" spans="10:18" x14ac:dyDescent="0.3">
      <c r="J131" t="s">
        <v>259</v>
      </c>
      <c r="K131" t="s">
        <v>35</v>
      </c>
      <c r="L131" t="str">
        <f>_xlfn.XLOOKUP(K131, plant_info[plant], plant_info[maintenance-requirements])</f>
        <v>low-maintenance</v>
      </c>
      <c r="M131" t="str">
        <f>_xlfn.XLOOKUP(responses[[#This Row],[plant_types]], plant_info[plant], plant_info[toxic])</f>
        <v>safe for pets &amp; children</v>
      </c>
      <c r="N131" t="s">
        <v>260</v>
      </c>
      <c r="O131" t="str">
        <f>_xlfn.XLOOKUP(J131, reason[survey_id], reason[reason_for_purchase])</f>
        <v>care requirements</v>
      </c>
      <c r="P131" t="s">
        <v>528</v>
      </c>
      <c r="Q131" t="s">
        <v>534</v>
      </c>
      <c r="R131" t="s">
        <v>530</v>
      </c>
    </row>
    <row r="132" spans="10:18" x14ac:dyDescent="0.3">
      <c r="J132" t="s">
        <v>163</v>
      </c>
      <c r="K132" t="s">
        <v>82</v>
      </c>
      <c r="L132" t="str">
        <f>_xlfn.XLOOKUP(K132, plant_info[plant], plant_info[maintenance-requirements])</f>
        <v>med-maintenance</v>
      </c>
      <c r="M132" t="str">
        <f>_xlfn.XLOOKUP(responses[[#This Row],[plant_types]], plant_info[plant], plant_info[toxic])</f>
        <v>safe for pets &amp; children</v>
      </c>
      <c r="N132" t="s">
        <v>164</v>
      </c>
      <c r="O132" t="str">
        <f>_xlfn.XLOOKUP(J132, reason[survey_id], reason[reason_for_purchase])</f>
        <v>pet-friendly or safe for children</v>
      </c>
      <c r="P132" t="s">
        <v>538</v>
      </c>
      <c r="Q132" t="s">
        <v>529</v>
      </c>
      <c r="R132" t="s">
        <v>530</v>
      </c>
    </row>
    <row r="133" spans="10:18" x14ac:dyDescent="0.3">
      <c r="J133" t="s">
        <v>433</v>
      </c>
      <c r="K133" t="s">
        <v>70</v>
      </c>
      <c r="L133" t="str">
        <f>_xlfn.XLOOKUP(K133, plant_info[plant], plant_info[maintenance-requirements])</f>
        <v>low-maintenance</v>
      </c>
      <c r="M133" t="str">
        <f>_xlfn.XLOOKUP(responses[[#This Row],[plant_types]], plant_info[plant], plant_info[toxic])</f>
        <v>safe for pets &amp; children</v>
      </c>
      <c r="N133" t="s">
        <v>434</v>
      </c>
      <c r="O133" t="str">
        <f>_xlfn.XLOOKUP(J133, reason[survey_id], reason[reason_for_purchase])</f>
        <v>pet-friendly or safe for children</v>
      </c>
      <c r="P133" t="s">
        <v>531</v>
      </c>
      <c r="Q133" t="s">
        <v>529</v>
      </c>
      <c r="R133" t="s">
        <v>532</v>
      </c>
    </row>
    <row r="134" spans="10:18" x14ac:dyDescent="0.3">
      <c r="J134" t="s">
        <v>277</v>
      </c>
      <c r="K134" t="s">
        <v>72</v>
      </c>
      <c r="L134" t="str">
        <f>_xlfn.XLOOKUP(K134, plant_info[plant], plant_info[maintenance-requirements])</f>
        <v>low-maintenance</v>
      </c>
      <c r="M134" t="str">
        <f>_xlfn.XLOOKUP(responses[[#This Row],[plant_types]], plant_info[plant], plant_info[toxic])</f>
        <v>safe for pets &amp; children</v>
      </c>
      <c r="N134" t="s">
        <v>278</v>
      </c>
      <c r="O134" t="str">
        <f>_xlfn.XLOOKUP(J134, reason[survey_id], reason[reason_for_purchase])</f>
        <v>benefits</v>
      </c>
      <c r="P134" t="s">
        <v>538</v>
      </c>
      <c r="Q134" t="s">
        <v>534</v>
      </c>
      <c r="R134" t="s">
        <v>530</v>
      </c>
    </row>
    <row r="135" spans="10:18" x14ac:dyDescent="0.3">
      <c r="J135" t="s">
        <v>461</v>
      </c>
      <c r="K135" t="s">
        <v>72</v>
      </c>
      <c r="L135" t="str">
        <f>_xlfn.XLOOKUP(K135, plant_info[plant], plant_info[maintenance-requirements])</f>
        <v>low-maintenance</v>
      </c>
      <c r="M135" t="str">
        <f>_xlfn.XLOOKUP(responses[[#This Row],[plant_types]], plant_info[plant], plant_info[toxic])</f>
        <v>safe for pets &amp; children</v>
      </c>
      <c r="N135" t="s">
        <v>462</v>
      </c>
      <c r="O135" t="str">
        <f>_xlfn.XLOOKUP(J135, reason[survey_id], reason[reason_for_purchase])</f>
        <v>size</v>
      </c>
      <c r="P135" t="s">
        <v>528</v>
      </c>
      <c r="Q135" t="s">
        <v>534</v>
      </c>
      <c r="R135" t="s">
        <v>542</v>
      </c>
    </row>
    <row r="136" spans="10:18" x14ac:dyDescent="0.3">
      <c r="J136" t="s">
        <v>351</v>
      </c>
      <c r="K136" t="s">
        <v>43</v>
      </c>
      <c r="L136" t="str">
        <f>_xlfn.XLOOKUP(K136, plant_info[plant], plant_info[maintenance-requirements])</f>
        <v>low-maintenance</v>
      </c>
      <c r="M136" t="str">
        <f>_xlfn.XLOOKUP(responses[[#This Row],[plant_types]], plant_info[plant], plant_info[toxic])</f>
        <v>safe for pets &amp; children</v>
      </c>
      <c r="N136" t="s">
        <v>352</v>
      </c>
      <c r="O136" t="str">
        <f>_xlfn.XLOOKUP(J136, reason[survey_id], reason[reason_for_purchase])</f>
        <v>care requirements</v>
      </c>
      <c r="P136" t="s">
        <v>538</v>
      </c>
      <c r="Q136" t="s">
        <v>536</v>
      </c>
      <c r="R136" t="s">
        <v>537</v>
      </c>
    </row>
    <row r="137" spans="10:18" x14ac:dyDescent="0.3">
      <c r="J137" t="s">
        <v>429</v>
      </c>
      <c r="K137" t="s">
        <v>72</v>
      </c>
      <c r="L137" t="str">
        <f>_xlfn.XLOOKUP(K137, plant_info[plant], plant_info[maintenance-requirements])</f>
        <v>low-maintenance</v>
      </c>
      <c r="M137" t="str">
        <f>_xlfn.XLOOKUP(responses[[#This Row],[plant_types]], plant_info[plant], plant_info[toxic])</f>
        <v>safe for pets &amp; children</v>
      </c>
      <c r="N137" t="s">
        <v>430</v>
      </c>
      <c r="O137" t="str">
        <f>_xlfn.XLOOKUP(J137, reason[survey_id], reason[reason_for_purchase])</f>
        <v>care requirements</v>
      </c>
      <c r="P137" t="s">
        <v>531</v>
      </c>
      <c r="Q137" t="s">
        <v>534</v>
      </c>
      <c r="R137" t="s">
        <v>537</v>
      </c>
    </row>
    <row r="138" spans="10:18" x14ac:dyDescent="0.3">
      <c r="J138" t="s">
        <v>133</v>
      </c>
      <c r="K138" t="s">
        <v>72</v>
      </c>
      <c r="L138" t="str">
        <f>_xlfn.XLOOKUP(K138, plant_info[plant], plant_info[maintenance-requirements])</f>
        <v>low-maintenance</v>
      </c>
      <c r="M138" t="str">
        <f>_xlfn.XLOOKUP(responses[[#This Row],[plant_types]], plant_info[plant], plant_info[toxic])</f>
        <v>safe for pets &amp; children</v>
      </c>
      <c r="N138" t="s">
        <v>134</v>
      </c>
      <c r="O138" t="str">
        <f>_xlfn.XLOOKUP(J138, reason[survey_id], reason[reason_for_purchase])</f>
        <v>pet-friendly or safe for children</v>
      </c>
      <c r="P138" t="s">
        <v>531</v>
      </c>
      <c r="Q138" t="s">
        <v>529</v>
      </c>
      <c r="R138" t="s">
        <v>537</v>
      </c>
    </row>
    <row r="139" spans="10:18" x14ac:dyDescent="0.3">
      <c r="J139" t="s">
        <v>129</v>
      </c>
      <c r="K139" t="s">
        <v>78</v>
      </c>
      <c r="L139" t="str">
        <f>_xlfn.XLOOKUP(K139, plant_info[plant], plant_info[maintenance-requirements])</f>
        <v>low-maintenance</v>
      </c>
      <c r="M139" t="str">
        <f>_xlfn.XLOOKUP(responses[[#This Row],[plant_types]], plant_info[plant], plant_info[toxic])</f>
        <v>safe for pets &amp; children</v>
      </c>
      <c r="N139" t="s">
        <v>130</v>
      </c>
      <c r="O139" t="str">
        <f>_xlfn.XLOOKUP(J139, reason[survey_id], reason[reason_for_purchase])</f>
        <v>size</v>
      </c>
      <c r="P139" t="s">
        <v>528</v>
      </c>
      <c r="Q139" t="s">
        <v>536</v>
      </c>
      <c r="R139" t="s">
        <v>530</v>
      </c>
    </row>
    <row r="140" spans="10:18" x14ac:dyDescent="0.3">
      <c r="J140" t="s">
        <v>385</v>
      </c>
      <c r="K140" t="s">
        <v>55</v>
      </c>
      <c r="L140" t="str">
        <f>_xlfn.XLOOKUP(K140, plant_info[plant], plant_info[maintenance-requirements])</f>
        <v>low-maintenance</v>
      </c>
      <c r="M140" t="str">
        <f>_xlfn.XLOOKUP(responses[[#This Row],[plant_types]], plant_info[plant], plant_info[toxic])</f>
        <v>safe for pets &amp; children</v>
      </c>
      <c r="N140" t="s">
        <v>386</v>
      </c>
      <c r="O140" t="str">
        <f>_xlfn.XLOOKUP(J140, reason[survey_id], reason[reason_for_purchase])</f>
        <v>pet-friendly or safe for children</v>
      </c>
      <c r="P140" t="s">
        <v>533</v>
      </c>
      <c r="Q140" t="s">
        <v>529</v>
      </c>
      <c r="R140" t="s">
        <v>530</v>
      </c>
    </row>
    <row r="141" spans="10:18" x14ac:dyDescent="0.3">
      <c r="J141" t="s">
        <v>101</v>
      </c>
      <c r="K141" t="s">
        <v>55</v>
      </c>
      <c r="L141" t="str">
        <f>_xlfn.XLOOKUP(K141, plant_info[plant], plant_info[maintenance-requirements])</f>
        <v>low-maintenance</v>
      </c>
      <c r="M141" t="str">
        <f>_xlfn.XLOOKUP(responses[[#This Row],[plant_types]], plant_info[plant], plant_info[toxic])</f>
        <v>safe for pets &amp; children</v>
      </c>
      <c r="N141" t="s">
        <v>102</v>
      </c>
      <c r="O141" t="str">
        <f>_xlfn.XLOOKUP(J141, reason[survey_id], reason[reason_for_purchase])</f>
        <v>pet-friendly or safe for children</v>
      </c>
      <c r="P141" t="s">
        <v>538</v>
      </c>
      <c r="Q141" t="s">
        <v>529</v>
      </c>
      <c r="R141" t="s">
        <v>542</v>
      </c>
    </row>
    <row r="142" spans="10:18" x14ac:dyDescent="0.3">
      <c r="J142" t="s">
        <v>309</v>
      </c>
      <c r="K142" t="s">
        <v>35</v>
      </c>
      <c r="L142" t="str">
        <f>_xlfn.XLOOKUP(K142, plant_info[plant], plant_info[maintenance-requirements])</f>
        <v>low-maintenance</v>
      </c>
      <c r="M142" t="str">
        <f>_xlfn.XLOOKUP(responses[[#This Row],[plant_types]], plant_info[plant], plant_info[toxic])</f>
        <v>safe for pets &amp; children</v>
      </c>
      <c r="N142" t="s">
        <v>310</v>
      </c>
      <c r="O142" t="str">
        <f>_xlfn.XLOOKUP(J142, reason[survey_id], reason[reason_for_purchase])</f>
        <v>rare or unique species</v>
      </c>
      <c r="P142" t="s">
        <v>531</v>
      </c>
      <c r="Q142" t="s">
        <v>536</v>
      </c>
      <c r="R142" t="s">
        <v>532</v>
      </c>
    </row>
    <row r="143" spans="10:18" x14ac:dyDescent="0.3">
      <c r="J143" t="s">
        <v>297</v>
      </c>
      <c r="K143" t="s">
        <v>84</v>
      </c>
      <c r="L143" t="str">
        <f>_xlfn.XLOOKUP(K143, plant_info[plant], plant_info[maintenance-requirements])</f>
        <v>low-maintenance</v>
      </c>
      <c r="M143" t="str">
        <f>_xlfn.XLOOKUP(responses[[#This Row],[plant_types]], plant_info[plant], plant_info[toxic])</f>
        <v>safe for pets &amp; children</v>
      </c>
      <c r="N143" t="s">
        <v>298</v>
      </c>
      <c r="O143" t="str">
        <f>_xlfn.XLOOKUP(J143, reason[survey_id], reason[reason_for_purchase])</f>
        <v>pet-friendly or safe for children</v>
      </c>
      <c r="P143" t="s">
        <v>528</v>
      </c>
      <c r="Q143" t="s">
        <v>541</v>
      </c>
      <c r="R143" t="s">
        <v>535</v>
      </c>
    </row>
    <row r="144" spans="10:18" x14ac:dyDescent="0.3">
      <c r="J144" t="s">
        <v>291</v>
      </c>
      <c r="K144" t="s">
        <v>65</v>
      </c>
      <c r="L144" t="str">
        <f>_xlfn.XLOOKUP(K144, plant_info[plant], plant_info[maintenance-requirements])</f>
        <v>high-maintenance</v>
      </c>
      <c r="M144" t="str">
        <f>_xlfn.XLOOKUP(responses[[#This Row],[plant_types]], plant_info[plant], plant_info[toxic])</f>
        <v>safe for pets &amp; children</v>
      </c>
      <c r="N144" t="s">
        <v>292</v>
      </c>
      <c r="O144" t="str">
        <f>_xlfn.XLOOKUP(J144, reason[survey_id], reason[reason_for_purchase])</f>
        <v>care requirements</v>
      </c>
      <c r="P144" t="s">
        <v>533</v>
      </c>
      <c r="Q144" t="s">
        <v>529</v>
      </c>
      <c r="R144" t="s">
        <v>535</v>
      </c>
    </row>
    <row r="145" spans="10:18" x14ac:dyDescent="0.3">
      <c r="J145" t="s">
        <v>189</v>
      </c>
      <c r="K145" t="s">
        <v>55</v>
      </c>
      <c r="L145" t="str">
        <f>_xlfn.XLOOKUP(K145, plant_info[plant], plant_info[maintenance-requirements])</f>
        <v>low-maintenance</v>
      </c>
      <c r="M145" t="str">
        <f>_xlfn.XLOOKUP(responses[[#This Row],[plant_types]], plant_info[plant], plant_info[toxic])</f>
        <v>safe for pets &amp; children</v>
      </c>
      <c r="N145" t="s">
        <v>190</v>
      </c>
      <c r="O145" t="str">
        <f>_xlfn.XLOOKUP(J145, reason[survey_id], reason[reason_for_purchase])</f>
        <v>care requirements</v>
      </c>
      <c r="P145" t="s">
        <v>531</v>
      </c>
      <c r="Q145" t="s">
        <v>534</v>
      </c>
      <c r="R145" t="s">
        <v>530</v>
      </c>
    </row>
    <row r="146" spans="10:18" x14ac:dyDescent="0.3">
      <c r="J146" t="s">
        <v>355</v>
      </c>
      <c r="K146" t="s">
        <v>68</v>
      </c>
      <c r="L146" t="str">
        <f>_xlfn.XLOOKUP(K146, plant_info[plant], plant_info[maintenance-requirements])</f>
        <v>low-maintenance</v>
      </c>
      <c r="M146" t="str">
        <f>_xlfn.XLOOKUP(responses[[#This Row],[plant_types]], plant_info[plant], plant_info[toxic])</f>
        <v>safe for pets &amp; children</v>
      </c>
      <c r="N146" t="s">
        <v>356</v>
      </c>
      <c r="O146" t="str">
        <f>_xlfn.XLOOKUP(J146, reason[survey_id], reason[reason_for_purchase])</f>
        <v>rare or unique species</v>
      </c>
      <c r="P146" t="s">
        <v>528</v>
      </c>
      <c r="Q146" t="s">
        <v>536</v>
      </c>
      <c r="R146" t="s">
        <v>530</v>
      </c>
    </row>
    <row r="147" spans="10:18" x14ac:dyDescent="0.3">
      <c r="J147" t="s">
        <v>225</v>
      </c>
      <c r="K147" t="s">
        <v>84</v>
      </c>
      <c r="L147" t="str">
        <f>_xlfn.XLOOKUP(K147, plant_info[plant], plant_info[maintenance-requirements])</f>
        <v>low-maintenance</v>
      </c>
      <c r="M147" t="str">
        <f>_xlfn.XLOOKUP(responses[[#This Row],[plant_types]], plant_info[plant], plant_info[toxic])</f>
        <v>safe for pets &amp; children</v>
      </c>
      <c r="N147" t="s">
        <v>226</v>
      </c>
      <c r="O147" t="str">
        <f>_xlfn.XLOOKUP(J147, reason[survey_id], reason[reason_for_purchase])</f>
        <v>benefits</v>
      </c>
      <c r="P147" t="s">
        <v>528</v>
      </c>
      <c r="Q147" t="s">
        <v>539</v>
      </c>
      <c r="R147" t="s">
        <v>537</v>
      </c>
    </row>
    <row r="148" spans="10:18" x14ac:dyDescent="0.3">
      <c r="J148" t="s">
        <v>411</v>
      </c>
      <c r="K148" t="s">
        <v>78</v>
      </c>
      <c r="L148" t="str">
        <f>_xlfn.XLOOKUP(K148, plant_info[plant], plant_info[maintenance-requirements])</f>
        <v>low-maintenance</v>
      </c>
      <c r="M148" t="str">
        <f>_xlfn.XLOOKUP(responses[[#This Row],[plant_types]], plant_info[plant], plant_info[toxic])</f>
        <v>safe for pets &amp; children</v>
      </c>
      <c r="N148" t="s">
        <v>412</v>
      </c>
      <c r="O148" t="str">
        <f>_xlfn.XLOOKUP(J148, reason[survey_id], reason[reason_for_purchase])</f>
        <v>size</v>
      </c>
      <c r="P148" t="s">
        <v>528</v>
      </c>
      <c r="Q148" t="s">
        <v>529</v>
      </c>
      <c r="R148" t="s">
        <v>532</v>
      </c>
    </row>
    <row r="149" spans="10:18" x14ac:dyDescent="0.3">
      <c r="J149" t="s">
        <v>251</v>
      </c>
      <c r="K149" t="s">
        <v>35</v>
      </c>
      <c r="L149" t="str">
        <f>_xlfn.XLOOKUP(K149, plant_info[plant], plant_info[maintenance-requirements])</f>
        <v>low-maintenance</v>
      </c>
      <c r="M149" t="str">
        <f>_xlfn.XLOOKUP(responses[[#This Row],[plant_types]], plant_info[plant], plant_info[toxic])</f>
        <v>safe for pets &amp; children</v>
      </c>
      <c r="N149" t="s">
        <v>252</v>
      </c>
      <c r="O149" t="str">
        <f>_xlfn.XLOOKUP(J149, reason[survey_id], reason[reason_for_purchase])</f>
        <v>pet-friendly or safe for children</v>
      </c>
      <c r="P149" t="s">
        <v>538</v>
      </c>
      <c r="Q149" t="s">
        <v>541</v>
      </c>
      <c r="R149" t="s">
        <v>537</v>
      </c>
    </row>
    <row r="150" spans="10:18" x14ac:dyDescent="0.3">
      <c r="J150" t="s">
        <v>500</v>
      </c>
      <c r="K150" t="s">
        <v>55</v>
      </c>
      <c r="L150" t="str">
        <f>_xlfn.XLOOKUP(K150, plant_info[plant], plant_info[maintenance-requirements])</f>
        <v>low-maintenance</v>
      </c>
      <c r="M150" t="str">
        <f>_xlfn.XLOOKUP(responses[[#This Row],[plant_types]], plant_info[plant], plant_info[toxic])</f>
        <v>safe for pets &amp; children</v>
      </c>
      <c r="N150" t="s">
        <v>501</v>
      </c>
      <c r="O150" t="str">
        <f>_xlfn.XLOOKUP(J150, reason[survey_id], reason[reason_for_purchase])</f>
        <v>pet-friendly or safe for children</v>
      </c>
      <c r="P150" t="s">
        <v>538</v>
      </c>
      <c r="Q150" t="s">
        <v>536</v>
      </c>
      <c r="R150" t="s">
        <v>535</v>
      </c>
    </row>
    <row r="151" spans="10:18" x14ac:dyDescent="0.3">
      <c r="J151" t="s">
        <v>141</v>
      </c>
      <c r="K151" t="s">
        <v>68</v>
      </c>
      <c r="L151" t="str">
        <f>_xlfn.XLOOKUP(K151, plant_info[plant], plant_info[maintenance-requirements])</f>
        <v>low-maintenance</v>
      </c>
      <c r="M151" t="str">
        <f>_xlfn.XLOOKUP(responses[[#This Row],[plant_types]], plant_info[plant], plant_info[toxic])</f>
        <v>safe for pets &amp; children</v>
      </c>
      <c r="N151" t="s">
        <v>142</v>
      </c>
      <c r="O151" t="str">
        <f>_xlfn.XLOOKUP(J151, reason[survey_id], reason[reason_for_purchase])</f>
        <v>size</v>
      </c>
      <c r="P151" t="s">
        <v>538</v>
      </c>
      <c r="Q151" t="s">
        <v>536</v>
      </c>
      <c r="R151" t="s">
        <v>537</v>
      </c>
    </row>
    <row r="152" spans="10:18" x14ac:dyDescent="0.3">
      <c r="J152" t="s">
        <v>165</v>
      </c>
      <c r="K152" t="s">
        <v>81</v>
      </c>
      <c r="L152" t="str">
        <f>_xlfn.XLOOKUP(K152, plant_info[plant], plant_info[maintenance-requirements])</f>
        <v>med-maintenance</v>
      </c>
      <c r="M152" t="str">
        <f>_xlfn.XLOOKUP(responses[[#This Row],[plant_types]], plant_info[plant], plant_info[toxic])</f>
        <v>safe for pets &amp; children</v>
      </c>
      <c r="N152" t="s">
        <v>166</v>
      </c>
      <c r="O152" t="str">
        <f>_xlfn.XLOOKUP(J152, reason[survey_id], reason[reason_for_purchase])</f>
        <v>rare or unique species</v>
      </c>
      <c r="P152" t="s">
        <v>531</v>
      </c>
      <c r="Q152" t="s">
        <v>534</v>
      </c>
      <c r="R152" t="s">
        <v>537</v>
      </c>
    </row>
    <row r="153" spans="10:18" x14ac:dyDescent="0.3">
      <c r="J153" t="s">
        <v>379</v>
      </c>
      <c r="K153" t="s">
        <v>51</v>
      </c>
      <c r="L153" t="str">
        <f>_xlfn.XLOOKUP(K153, plant_info[plant], plant_info[maintenance-requirements])</f>
        <v>high-maintenance</v>
      </c>
      <c r="M153" t="str">
        <f>_xlfn.XLOOKUP(responses[[#This Row],[plant_types]], plant_info[plant], plant_info[toxic])</f>
        <v>safe for pets &amp; children</v>
      </c>
      <c r="N153" t="s">
        <v>380</v>
      </c>
      <c r="O153" t="str">
        <f>_xlfn.XLOOKUP(J153, reason[survey_id], reason[reason_for_purchase])</f>
        <v>care requirements</v>
      </c>
      <c r="P153" t="s">
        <v>528</v>
      </c>
      <c r="Q153" t="s">
        <v>529</v>
      </c>
      <c r="R153" t="s">
        <v>532</v>
      </c>
    </row>
    <row r="154" spans="10:18" x14ac:dyDescent="0.3">
      <c r="J154" t="s">
        <v>171</v>
      </c>
      <c r="K154" t="s">
        <v>43</v>
      </c>
      <c r="L154" t="str">
        <f>_xlfn.XLOOKUP(K154, plant_info[plant], plant_info[maintenance-requirements])</f>
        <v>low-maintenance</v>
      </c>
      <c r="M154" t="str">
        <f>_xlfn.XLOOKUP(responses[[#This Row],[plant_types]], plant_info[plant], plant_info[toxic])</f>
        <v>safe for pets &amp; children</v>
      </c>
      <c r="N154" t="s">
        <v>172</v>
      </c>
      <c r="O154" t="str">
        <f>_xlfn.XLOOKUP(J154, reason[survey_id], reason[reason_for_purchase])</f>
        <v>care requirements</v>
      </c>
      <c r="P154" t="s">
        <v>531</v>
      </c>
      <c r="Q154" t="s">
        <v>536</v>
      </c>
      <c r="R154" t="s">
        <v>530</v>
      </c>
    </row>
    <row r="155" spans="10:18" x14ac:dyDescent="0.3">
      <c r="J155" t="s">
        <v>363</v>
      </c>
      <c r="K155" t="s">
        <v>35</v>
      </c>
      <c r="L155" t="str">
        <f>_xlfn.XLOOKUP(K155, plant_info[plant], plant_info[maintenance-requirements])</f>
        <v>low-maintenance</v>
      </c>
      <c r="M155" t="str">
        <f>_xlfn.XLOOKUP(responses[[#This Row],[plant_types]], plant_info[plant], plant_info[toxic])</f>
        <v>safe for pets &amp; children</v>
      </c>
      <c r="N155" t="s">
        <v>364</v>
      </c>
      <c r="O155" t="str">
        <f>_xlfn.XLOOKUP(J155, reason[survey_id], reason[reason_for_purchase])</f>
        <v>care requirements</v>
      </c>
      <c r="P155" t="s">
        <v>531</v>
      </c>
      <c r="Q155" t="s">
        <v>539</v>
      </c>
      <c r="R155" t="s">
        <v>535</v>
      </c>
    </row>
    <row r="156" spans="10:18" x14ac:dyDescent="0.3">
      <c r="J156" t="s">
        <v>463</v>
      </c>
      <c r="K156" t="s">
        <v>56</v>
      </c>
      <c r="L156" t="str">
        <f>_xlfn.XLOOKUP(K156, plant_info[plant], plant_info[maintenance-requirements])</f>
        <v>med-maintenance</v>
      </c>
      <c r="M156" t="str">
        <f>_xlfn.XLOOKUP(responses[[#This Row],[plant_types]], plant_info[plant], plant_info[toxic])</f>
        <v>safe for pets &amp; children</v>
      </c>
      <c r="N156" t="s">
        <v>464</v>
      </c>
      <c r="O156" t="str">
        <f>_xlfn.XLOOKUP(J156, reason[survey_id], reason[reason_for_purchase])</f>
        <v>size</v>
      </c>
      <c r="P156" t="s">
        <v>531</v>
      </c>
      <c r="Q156" t="s">
        <v>536</v>
      </c>
      <c r="R156" t="s">
        <v>535</v>
      </c>
    </row>
    <row r="157" spans="10:18" x14ac:dyDescent="0.3">
      <c r="J157" t="s">
        <v>237</v>
      </c>
      <c r="K157" t="s">
        <v>35</v>
      </c>
      <c r="L157" t="str">
        <f>_xlfn.XLOOKUP(K157, plant_info[plant], plant_info[maintenance-requirements])</f>
        <v>low-maintenance</v>
      </c>
      <c r="M157" t="str">
        <f>_xlfn.XLOOKUP(responses[[#This Row],[plant_types]], plant_info[plant], plant_info[toxic])</f>
        <v>safe for pets &amp; children</v>
      </c>
      <c r="N157" t="s">
        <v>238</v>
      </c>
      <c r="O157" t="str">
        <f>_xlfn.XLOOKUP(J157, reason[survey_id], reason[reason_for_purchase])</f>
        <v>size</v>
      </c>
      <c r="P157" t="s">
        <v>533</v>
      </c>
      <c r="Q157" t="s">
        <v>536</v>
      </c>
      <c r="R157" t="s">
        <v>540</v>
      </c>
    </row>
    <row r="158" spans="10:18" x14ac:dyDescent="0.3">
      <c r="J158" t="s">
        <v>335</v>
      </c>
      <c r="K158" t="s">
        <v>67</v>
      </c>
      <c r="L158" t="str">
        <f>_xlfn.XLOOKUP(K158, plant_info[plant], plant_info[maintenance-requirements])</f>
        <v>high-maintenance</v>
      </c>
      <c r="M158" t="str">
        <f>_xlfn.XLOOKUP(responses[[#This Row],[plant_types]], plant_info[plant], plant_info[toxic])</f>
        <v>safe for pets &amp; children</v>
      </c>
      <c r="N158" t="s">
        <v>336</v>
      </c>
      <c r="O158" t="str">
        <f>_xlfn.XLOOKUP(J158, reason[survey_id], reason[reason_for_purchase])</f>
        <v>pet-friendly or safe for children</v>
      </c>
      <c r="P158" t="s">
        <v>538</v>
      </c>
      <c r="Q158" t="s">
        <v>534</v>
      </c>
      <c r="R158" t="s">
        <v>532</v>
      </c>
    </row>
    <row r="159" spans="10:18" x14ac:dyDescent="0.3">
      <c r="J159" t="s">
        <v>339</v>
      </c>
      <c r="K159" t="s">
        <v>61</v>
      </c>
      <c r="L159" t="str">
        <f>_xlfn.XLOOKUP(K159, plant_info[plant], plant_info[maintenance-requirements])</f>
        <v>med-maintenance</v>
      </c>
      <c r="M159" t="str">
        <f>_xlfn.XLOOKUP(responses[[#This Row],[plant_types]], plant_info[plant], plant_info[toxic])</f>
        <v>safe for pets &amp; children</v>
      </c>
      <c r="N159" t="s">
        <v>340</v>
      </c>
      <c r="O159" t="str">
        <f>_xlfn.XLOOKUP(J159, reason[survey_id], reason[reason_for_purchase])</f>
        <v>care requirements</v>
      </c>
      <c r="P159" t="s">
        <v>528</v>
      </c>
      <c r="Q159" t="s">
        <v>534</v>
      </c>
      <c r="R159" t="s">
        <v>537</v>
      </c>
    </row>
    <row r="160" spans="10:18" x14ac:dyDescent="0.3">
      <c r="J160" t="s">
        <v>207</v>
      </c>
      <c r="K160" t="s">
        <v>72</v>
      </c>
      <c r="L160" t="str">
        <f>_xlfn.XLOOKUP(K160, plant_info[plant], plant_info[maintenance-requirements])</f>
        <v>low-maintenance</v>
      </c>
      <c r="M160" t="str">
        <f>_xlfn.XLOOKUP(responses[[#This Row],[plant_types]], plant_info[plant], plant_info[toxic])</f>
        <v>safe for pets &amp; children</v>
      </c>
      <c r="N160" t="s">
        <v>208</v>
      </c>
      <c r="O160" t="str">
        <f>_xlfn.XLOOKUP(J160, reason[survey_id], reason[reason_for_purchase])</f>
        <v>size</v>
      </c>
      <c r="P160" t="s">
        <v>538</v>
      </c>
      <c r="Q160" t="s">
        <v>539</v>
      </c>
      <c r="R160" t="s">
        <v>530</v>
      </c>
    </row>
    <row r="161" spans="10:18" x14ac:dyDescent="0.3">
      <c r="J161" t="s">
        <v>285</v>
      </c>
      <c r="K161" t="s">
        <v>43</v>
      </c>
      <c r="L161" t="str">
        <f>_xlfn.XLOOKUP(K161, plant_info[plant], plant_info[maintenance-requirements])</f>
        <v>low-maintenance</v>
      </c>
      <c r="M161" t="str">
        <f>_xlfn.XLOOKUP(responses[[#This Row],[plant_types]], plant_info[plant], plant_info[toxic])</f>
        <v>safe for pets &amp; children</v>
      </c>
      <c r="N161" t="s">
        <v>286</v>
      </c>
      <c r="O161" t="str">
        <f>_xlfn.XLOOKUP(J161, reason[survey_id], reason[reason_for_purchase])</f>
        <v>rare or unique species</v>
      </c>
      <c r="P161" t="s">
        <v>528</v>
      </c>
      <c r="Q161" t="s">
        <v>534</v>
      </c>
      <c r="R161" t="s">
        <v>537</v>
      </c>
    </row>
    <row r="162" spans="10:18" x14ac:dyDescent="0.3">
      <c r="J162" t="s">
        <v>391</v>
      </c>
      <c r="K162" t="s">
        <v>43</v>
      </c>
      <c r="L162" t="str">
        <f>_xlfn.XLOOKUP(K162, plant_info[plant], plant_info[maintenance-requirements])</f>
        <v>low-maintenance</v>
      </c>
      <c r="M162" t="str">
        <f>_xlfn.XLOOKUP(responses[[#This Row],[plant_types]], plant_info[plant], plant_info[toxic])</f>
        <v>safe for pets &amp; children</v>
      </c>
      <c r="N162" t="s">
        <v>392</v>
      </c>
      <c r="O162" t="str">
        <f>_xlfn.XLOOKUP(J162, reason[survey_id], reason[reason_for_purchase])</f>
        <v>price</v>
      </c>
      <c r="P162" t="s">
        <v>528</v>
      </c>
      <c r="Q162" t="s">
        <v>536</v>
      </c>
      <c r="R162" t="s">
        <v>530</v>
      </c>
    </row>
    <row r="163" spans="10:18" x14ac:dyDescent="0.3">
      <c r="J163" t="s">
        <v>247</v>
      </c>
      <c r="K163" t="s">
        <v>55</v>
      </c>
      <c r="L163" t="str">
        <f>_xlfn.XLOOKUP(K163, plant_info[plant], plant_info[maintenance-requirements])</f>
        <v>low-maintenance</v>
      </c>
      <c r="M163" t="str">
        <f>_xlfn.XLOOKUP(responses[[#This Row],[plant_types]], plant_info[plant], plant_info[toxic])</f>
        <v>safe for pets &amp; children</v>
      </c>
      <c r="N163" t="s">
        <v>248</v>
      </c>
      <c r="O163" t="str">
        <f>_xlfn.XLOOKUP(J163, reason[survey_id], reason[reason_for_purchase])</f>
        <v>care requirements</v>
      </c>
      <c r="P163" t="s">
        <v>543</v>
      </c>
      <c r="Q163" t="s">
        <v>529</v>
      </c>
      <c r="R163" t="s">
        <v>530</v>
      </c>
    </row>
    <row r="164" spans="10:18" x14ac:dyDescent="0.3">
      <c r="J164" t="s">
        <v>327</v>
      </c>
      <c r="K164" t="s">
        <v>72</v>
      </c>
      <c r="L164" t="str">
        <f>_xlfn.XLOOKUP(K164, plant_info[plant], plant_info[maintenance-requirements])</f>
        <v>low-maintenance</v>
      </c>
      <c r="M164" t="str">
        <f>_xlfn.XLOOKUP(responses[[#This Row],[plant_types]], plant_info[plant], plant_info[toxic])</f>
        <v>safe for pets &amp; children</v>
      </c>
      <c r="N164" t="s">
        <v>328</v>
      </c>
      <c r="O164" t="str">
        <f>_xlfn.XLOOKUP(J164, reason[survey_id], reason[reason_for_purchase])</f>
        <v>benefits</v>
      </c>
      <c r="P164" t="s">
        <v>538</v>
      </c>
      <c r="Q164" t="s">
        <v>529</v>
      </c>
      <c r="R164" t="s">
        <v>532</v>
      </c>
    </row>
    <row r="165" spans="10:18" x14ac:dyDescent="0.3">
      <c r="J165" t="s">
        <v>179</v>
      </c>
      <c r="K165" t="s">
        <v>68</v>
      </c>
      <c r="L165" t="str">
        <f>_xlfn.XLOOKUP(K165, plant_info[plant], plant_info[maintenance-requirements])</f>
        <v>low-maintenance</v>
      </c>
      <c r="M165" t="str">
        <f>_xlfn.XLOOKUP(responses[[#This Row],[plant_types]], plant_info[plant], plant_info[toxic])</f>
        <v>safe for pets &amp; children</v>
      </c>
      <c r="N165" t="s">
        <v>180</v>
      </c>
      <c r="O165" t="str">
        <f>_xlfn.XLOOKUP(J165, reason[survey_id], reason[reason_for_purchase])</f>
        <v>care requirements</v>
      </c>
      <c r="P165" t="s">
        <v>528</v>
      </c>
      <c r="Q165" t="s">
        <v>534</v>
      </c>
      <c r="R165" t="s">
        <v>537</v>
      </c>
    </row>
    <row r="166" spans="10:18" x14ac:dyDescent="0.3">
      <c r="J166" t="s">
        <v>106</v>
      </c>
      <c r="K166" t="s">
        <v>81</v>
      </c>
      <c r="L166" t="str">
        <f>_xlfn.XLOOKUP(K166, plant_info[plant], plant_info[maintenance-requirements])</f>
        <v>med-maintenance</v>
      </c>
      <c r="M166" t="str">
        <f>_xlfn.XLOOKUP(responses[[#This Row],[plant_types]], plant_info[plant], plant_info[toxic])</f>
        <v>safe for pets &amp; children</v>
      </c>
      <c r="N166" t="s">
        <v>107</v>
      </c>
      <c r="O166" t="str">
        <f>_xlfn.XLOOKUP(J166, reason[survey_id], reason[reason_for_purchase])</f>
        <v>pet-friendly or safe for children</v>
      </c>
      <c r="P166" t="s">
        <v>543</v>
      </c>
      <c r="Q166" t="s">
        <v>529</v>
      </c>
      <c r="R166" t="s">
        <v>537</v>
      </c>
    </row>
    <row r="167" spans="10:18" x14ac:dyDescent="0.3">
      <c r="J167" t="s">
        <v>219</v>
      </c>
      <c r="K167" t="s">
        <v>35</v>
      </c>
      <c r="L167" t="str">
        <f>_xlfn.XLOOKUP(K167, plant_info[plant], plant_info[maintenance-requirements])</f>
        <v>low-maintenance</v>
      </c>
      <c r="M167" t="str">
        <f>_xlfn.XLOOKUP(responses[[#This Row],[plant_types]], plant_info[plant], plant_info[toxic])</f>
        <v>safe for pets &amp; children</v>
      </c>
      <c r="N167" t="s">
        <v>220</v>
      </c>
      <c r="O167" t="str">
        <f>_xlfn.XLOOKUP(J167, reason[survey_id], reason[reason_for_purchase])</f>
        <v>care requirements</v>
      </c>
      <c r="P167" t="s">
        <v>528</v>
      </c>
      <c r="Q167" t="s">
        <v>534</v>
      </c>
      <c r="R167" t="s">
        <v>532</v>
      </c>
    </row>
    <row r="168" spans="10:18" x14ac:dyDescent="0.3">
      <c r="J168" t="s">
        <v>413</v>
      </c>
      <c r="K168" t="s">
        <v>70</v>
      </c>
      <c r="L168" t="str">
        <f>_xlfn.XLOOKUP(K168, plant_info[plant], plant_info[maintenance-requirements])</f>
        <v>low-maintenance</v>
      </c>
      <c r="M168" t="str">
        <f>_xlfn.XLOOKUP(responses[[#This Row],[plant_types]], plant_info[plant], plant_info[toxic])</f>
        <v>safe for pets &amp; children</v>
      </c>
      <c r="N168" t="s">
        <v>414</v>
      </c>
      <c r="O168" t="str">
        <f>_xlfn.XLOOKUP(J168, reason[survey_id], reason[reason_for_purchase])</f>
        <v>rare or unique species</v>
      </c>
      <c r="P168" t="s">
        <v>528</v>
      </c>
      <c r="Q168" t="s">
        <v>541</v>
      </c>
      <c r="R168" t="s">
        <v>532</v>
      </c>
    </row>
    <row r="169" spans="10:18" x14ac:dyDescent="0.3">
      <c r="J169" t="s">
        <v>367</v>
      </c>
      <c r="K169" t="s">
        <v>78</v>
      </c>
      <c r="L169" t="str">
        <f>_xlfn.XLOOKUP(K169, plant_info[plant], plant_info[maintenance-requirements])</f>
        <v>low-maintenance</v>
      </c>
      <c r="M169" t="str">
        <f>_xlfn.XLOOKUP(responses[[#This Row],[plant_types]], plant_info[plant], plant_info[toxic])</f>
        <v>safe for pets &amp; children</v>
      </c>
      <c r="N169" t="s">
        <v>368</v>
      </c>
      <c r="O169" t="str">
        <f>_xlfn.XLOOKUP(J169, reason[survey_id], reason[reason_for_purchase])</f>
        <v>pet-friendly or safe for children</v>
      </c>
      <c r="P169" t="s">
        <v>528</v>
      </c>
      <c r="Q169" t="s">
        <v>529</v>
      </c>
      <c r="R169" t="s">
        <v>537</v>
      </c>
    </row>
    <row r="170" spans="10:18" x14ac:dyDescent="0.3">
      <c r="J170" t="s">
        <v>299</v>
      </c>
      <c r="K170" t="s">
        <v>70</v>
      </c>
      <c r="L170" t="str">
        <f>_xlfn.XLOOKUP(K170, plant_info[plant], plant_info[maintenance-requirements])</f>
        <v>low-maintenance</v>
      </c>
      <c r="M170" t="str">
        <f>_xlfn.XLOOKUP(responses[[#This Row],[plant_types]], plant_info[plant], plant_info[toxic])</f>
        <v>safe for pets &amp; children</v>
      </c>
      <c r="N170" t="s">
        <v>300</v>
      </c>
      <c r="O170" t="str">
        <f>_xlfn.XLOOKUP(J170, reason[survey_id], reason[reason_for_purchase])</f>
        <v>pet-friendly or safe for children</v>
      </c>
      <c r="P170" t="s">
        <v>531</v>
      </c>
      <c r="Q170" t="s">
        <v>534</v>
      </c>
      <c r="R170" t="s">
        <v>537</v>
      </c>
    </row>
    <row r="171" spans="10:18" x14ac:dyDescent="0.3">
      <c r="J171" t="s">
        <v>269</v>
      </c>
      <c r="K171" t="s">
        <v>60</v>
      </c>
      <c r="L171" t="str">
        <f>_xlfn.XLOOKUP(K171, plant_info[plant], plant_info[maintenance-requirements])</f>
        <v>med-maintenance</v>
      </c>
      <c r="M171" t="str">
        <f>_xlfn.XLOOKUP(responses[[#This Row],[plant_types]], plant_info[plant], plant_info[toxic])</f>
        <v>safe for pets &amp; children</v>
      </c>
      <c r="N171" t="s">
        <v>270</v>
      </c>
      <c r="O171" t="str">
        <f>_xlfn.XLOOKUP(J171, reason[survey_id], reason[reason_for_purchase])</f>
        <v>pet-friendly or safe for children</v>
      </c>
      <c r="P171" t="s">
        <v>538</v>
      </c>
      <c r="Q171" t="s">
        <v>529</v>
      </c>
      <c r="R171" t="s">
        <v>530</v>
      </c>
    </row>
    <row r="172" spans="10:18" x14ac:dyDescent="0.3">
      <c r="J172" t="s">
        <v>245</v>
      </c>
      <c r="K172" t="s">
        <v>70</v>
      </c>
      <c r="L172" t="str">
        <f>_xlfn.XLOOKUP(K172, plant_info[plant], plant_info[maintenance-requirements])</f>
        <v>low-maintenance</v>
      </c>
      <c r="M172" t="str">
        <f>_xlfn.XLOOKUP(responses[[#This Row],[plant_types]], plant_info[plant], plant_info[toxic])</f>
        <v>safe for pets &amp; children</v>
      </c>
      <c r="N172" t="s">
        <v>246</v>
      </c>
      <c r="O172" t="str">
        <f>_xlfn.XLOOKUP(J172, reason[survey_id], reason[reason_for_purchase])</f>
        <v>pet-friendly or safe for children</v>
      </c>
      <c r="P172" t="s">
        <v>538</v>
      </c>
      <c r="Q172" t="s">
        <v>541</v>
      </c>
      <c r="R172" t="s">
        <v>537</v>
      </c>
    </row>
    <row r="173" spans="10:18" x14ac:dyDescent="0.3">
      <c r="J173" t="s">
        <v>480</v>
      </c>
      <c r="K173" t="s">
        <v>70</v>
      </c>
      <c r="L173" t="str">
        <f>_xlfn.XLOOKUP(K173, plant_info[plant], plant_info[maintenance-requirements])</f>
        <v>low-maintenance</v>
      </c>
      <c r="M173" t="str">
        <f>_xlfn.XLOOKUP(responses[[#This Row],[plant_types]], plant_info[plant], plant_info[toxic])</f>
        <v>safe for pets &amp; children</v>
      </c>
      <c r="N173" t="s">
        <v>481</v>
      </c>
      <c r="O173" t="str">
        <f>_xlfn.XLOOKUP(J173, reason[survey_id], reason[reason_for_purchase])</f>
        <v>care requirements</v>
      </c>
      <c r="P173" t="s">
        <v>538</v>
      </c>
      <c r="Q173" t="s">
        <v>529</v>
      </c>
      <c r="R173" t="s">
        <v>532</v>
      </c>
    </row>
    <row r="174" spans="10:18" x14ac:dyDescent="0.3">
      <c r="J174" t="s">
        <v>175</v>
      </c>
      <c r="K174" t="s">
        <v>43</v>
      </c>
      <c r="L174" t="str">
        <f>_xlfn.XLOOKUP(K174, plant_info[plant], plant_info[maintenance-requirements])</f>
        <v>low-maintenance</v>
      </c>
      <c r="M174" t="str">
        <f>_xlfn.XLOOKUP(responses[[#This Row],[plant_types]], plant_info[plant], plant_info[toxic])</f>
        <v>safe for pets &amp; children</v>
      </c>
      <c r="N174" t="s">
        <v>176</v>
      </c>
      <c r="O174" t="str">
        <f>_xlfn.XLOOKUP(J174, reason[survey_id], reason[reason_for_purchase])</f>
        <v>benefits</v>
      </c>
      <c r="P174" t="s">
        <v>528</v>
      </c>
      <c r="Q174" t="s">
        <v>536</v>
      </c>
      <c r="R174" t="s">
        <v>532</v>
      </c>
    </row>
    <row r="175" spans="10:18" x14ac:dyDescent="0.3">
      <c r="J175" t="s">
        <v>478</v>
      </c>
      <c r="K175" t="s">
        <v>78</v>
      </c>
      <c r="L175" t="str">
        <f>_xlfn.XLOOKUP(K175, plant_info[plant], plant_info[maintenance-requirements])</f>
        <v>low-maintenance</v>
      </c>
      <c r="M175" t="str">
        <f>_xlfn.XLOOKUP(responses[[#This Row],[plant_types]], plant_info[plant], plant_info[toxic])</f>
        <v>safe for pets &amp; children</v>
      </c>
      <c r="N175" t="s">
        <v>479</v>
      </c>
      <c r="O175" t="str">
        <f>_xlfn.XLOOKUP(J175, reason[survey_id], reason[reason_for_purchase])</f>
        <v>pet-friendly or safe for children</v>
      </c>
      <c r="P175" t="s">
        <v>528</v>
      </c>
      <c r="Q175" t="s">
        <v>534</v>
      </c>
      <c r="R175" t="s">
        <v>530</v>
      </c>
    </row>
    <row r="176" spans="10:18" x14ac:dyDescent="0.3">
      <c r="J176" t="s">
        <v>137</v>
      </c>
      <c r="K176" t="s">
        <v>72</v>
      </c>
      <c r="L176" t="str">
        <f>_xlfn.XLOOKUP(K176, plant_info[plant], plant_info[maintenance-requirements])</f>
        <v>low-maintenance</v>
      </c>
      <c r="M176" t="str">
        <f>_xlfn.XLOOKUP(responses[[#This Row],[plant_types]], plant_info[plant], plant_info[toxic])</f>
        <v>safe for pets &amp; children</v>
      </c>
      <c r="N176" t="s">
        <v>138</v>
      </c>
      <c r="O176" t="str">
        <f>_xlfn.XLOOKUP(J176, reason[survey_id], reason[reason_for_purchase])</f>
        <v>care requirements</v>
      </c>
      <c r="P176" t="s">
        <v>531</v>
      </c>
      <c r="Q176" t="s">
        <v>534</v>
      </c>
      <c r="R176" t="s">
        <v>530</v>
      </c>
    </row>
    <row r="177" spans="10:18" x14ac:dyDescent="0.3">
      <c r="J177" t="s">
        <v>455</v>
      </c>
      <c r="K177" t="s">
        <v>57</v>
      </c>
      <c r="L177" t="str">
        <f>_xlfn.XLOOKUP(K177, plant_info[plant], plant_info[maintenance-requirements])</f>
        <v>med-maintenance</v>
      </c>
      <c r="M177" t="str">
        <f>_xlfn.XLOOKUP(responses[[#This Row],[plant_types]], plant_info[plant], plant_info[toxic])</f>
        <v>safe for pets &amp; children</v>
      </c>
      <c r="N177" t="s">
        <v>456</v>
      </c>
      <c r="O177" t="str">
        <f>_xlfn.XLOOKUP(J177, reason[survey_id], reason[reason_for_purchase])</f>
        <v>pet-friendly or safe for children</v>
      </c>
      <c r="P177" t="s">
        <v>531</v>
      </c>
      <c r="Q177" t="s">
        <v>529</v>
      </c>
      <c r="R177" t="s">
        <v>532</v>
      </c>
    </row>
    <row r="178" spans="10:18" x14ac:dyDescent="0.3">
      <c r="J178" t="s">
        <v>522</v>
      </c>
      <c r="K178" t="s">
        <v>78</v>
      </c>
      <c r="L178" t="str">
        <f>_xlfn.XLOOKUP(K178, plant_info[plant], plant_info[maintenance-requirements])</f>
        <v>low-maintenance</v>
      </c>
      <c r="M178" t="str">
        <f>_xlfn.XLOOKUP(responses[[#This Row],[plant_types]], plant_info[plant], plant_info[toxic])</f>
        <v>safe for pets &amp; children</v>
      </c>
      <c r="N178" t="s">
        <v>523</v>
      </c>
      <c r="O178" t="str">
        <f>_xlfn.XLOOKUP(J178, reason[survey_id], reason[reason_for_purchase])</f>
        <v>benefits</v>
      </c>
      <c r="P178" t="s">
        <v>528</v>
      </c>
      <c r="Q178" t="s">
        <v>534</v>
      </c>
      <c r="R178" t="s">
        <v>535</v>
      </c>
    </row>
    <row r="179" spans="10:18" x14ac:dyDescent="0.3">
      <c r="J179" t="s">
        <v>473</v>
      </c>
      <c r="K179" t="s">
        <v>70</v>
      </c>
      <c r="L179" t="str">
        <f>_xlfn.XLOOKUP(K179, plant_info[plant], plant_info[maintenance-requirements])</f>
        <v>low-maintenance</v>
      </c>
      <c r="M179" t="str">
        <f>_xlfn.XLOOKUP(responses[[#This Row],[plant_types]], plant_info[plant], plant_info[toxic])</f>
        <v>safe for pets &amp; children</v>
      </c>
      <c r="N179" t="s">
        <v>402</v>
      </c>
      <c r="O179" t="str">
        <f>_xlfn.XLOOKUP(J179, reason[survey_id], reason[reason_for_purchase])</f>
        <v>size</v>
      </c>
      <c r="P179" t="s">
        <v>528</v>
      </c>
      <c r="Q179" t="s">
        <v>529</v>
      </c>
      <c r="R179" t="s">
        <v>532</v>
      </c>
    </row>
    <row r="180" spans="10:18" x14ac:dyDescent="0.3">
      <c r="J180" t="s">
        <v>301</v>
      </c>
      <c r="K180" t="s">
        <v>55</v>
      </c>
      <c r="L180" t="str">
        <f>_xlfn.XLOOKUP(K180, plant_info[plant], plant_info[maintenance-requirements])</f>
        <v>low-maintenance</v>
      </c>
      <c r="M180" t="str">
        <f>_xlfn.XLOOKUP(responses[[#This Row],[plant_types]], plant_info[plant], plant_info[toxic])</f>
        <v>safe for pets &amp; children</v>
      </c>
      <c r="N180" t="s">
        <v>302</v>
      </c>
      <c r="O180" t="str">
        <f>_xlfn.XLOOKUP(J180, reason[survey_id], reason[reason_for_purchase])</f>
        <v>care requirements</v>
      </c>
      <c r="P180" t="s">
        <v>528</v>
      </c>
      <c r="Q180" t="s">
        <v>541</v>
      </c>
      <c r="R180" t="s">
        <v>532</v>
      </c>
    </row>
    <row r="181" spans="10:18" x14ac:dyDescent="0.3">
      <c r="J181" t="s">
        <v>88</v>
      </c>
      <c r="K181" t="s">
        <v>43</v>
      </c>
      <c r="L181" t="str">
        <f>_xlfn.XLOOKUP(K181, plant_info[plant], plant_info[maintenance-requirements])</f>
        <v>low-maintenance</v>
      </c>
      <c r="M181" t="str">
        <f>_xlfn.XLOOKUP(responses[[#This Row],[plant_types]], plant_info[plant], plant_info[toxic])</f>
        <v>safe for pets &amp; children</v>
      </c>
      <c r="N181" t="s">
        <v>89</v>
      </c>
      <c r="O181" t="str">
        <f>_xlfn.XLOOKUP(J181, reason[survey_id], reason[reason_for_purchase])</f>
        <v>benefits</v>
      </c>
      <c r="P181" t="s">
        <v>531</v>
      </c>
      <c r="Q181" t="s">
        <v>534</v>
      </c>
      <c r="R181" t="s">
        <v>530</v>
      </c>
    </row>
    <row r="182" spans="10:18" x14ac:dyDescent="0.3">
      <c r="J182" t="s">
        <v>249</v>
      </c>
      <c r="K182" t="s">
        <v>43</v>
      </c>
      <c r="L182" t="str">
        <f>_xlfn.XLOOKUP(K182, plant_info[plant], plant_info[maintenance-requirements])</f>
        <v>low-maintenance</v>
      </c>
      <c r="M182" t="str">
        <f>_xlfn.XLOOKUP(responses[[#This Row],[plant_types]], plant_info[plant], plant_info[toxic])</f>
        <v>safe for pets &amp; children</v>
      </c>
      <c r="N182" t="s">
        <v>250</v>
      </c>
      <c r="O182" t="str">
        <f>_xlfn.XLOOKUP(J182, reason[survey_id], reason[reason_for_purchase])</f>
        <v>benefits</v>
      </c>
      <c r="P182" t="s">
        <v>538</v>
      </c>
      <c r="Q182" t="s">
        <v>536</v>
      </c>
      <c r="R182" t="s">
        <v>535</v>
      </c>
    </row>
    <row r="183" spans="10:18" x14ac:dyDescent="0.3">
      <c r="J183" t="s">
        <v>427</v>
      </c>
      <c r="K183" t="s">
        <v>84</v>
      </c>
      <c r="L183" t="str">
        <f>_xlfn.XLOOKUP(K183, plant_info[plant], plant_info[maintenance-requirements])</f>
        <v>low-maintenance</v>
      </c>
      <c r="M183" t="str">
        <f>_xlfn.XLOOKUP(responses[[#This Row],[plant_types]], plant_info[plant], plant_info[toxic])</f>
        <v>safe for pets &amp; children</v>
      </c>
      <c r="N183" t="s">
        <v>428</v>
      </c>
      <c r="O183" t="str">
        <f>_xlfn.XLOOKUP(J183, reason[survey_id], reason[reason_for_purchase])</f>
        <v>pet-friendly or safe for children</v>
      </c>
      <c r="P183" t="s">
        <v>531</v>
      </c>
      <c r="Q183" t="s">
        <v>534</v>
      </c>
      <c r="R183" t="s">
        <v>535</v>
      </c>
    </row>
    <row r="184" spans="10:18" x14ac:dyDescent="0.3">
      <c r="J184" t="s">
        <v>271</v>
      </c>
      <c r="K184" t="s">
        <v>78</v>
      </c>
      <c r="L184" t="str">
        <f>_xlfn.XLOOKUP(K184, plant_info[plant], plant_info[maintenance-requirements])</f>
        <v>low-maintenance</v>
      </c>
      <c r="M184" t="str">
        <f>_xlfn.XLOOKUP(responses[[#This Row],[plant_types]], plant_info[plant], plant_info[toxic])</f>
        <v>safe for pets &amp; children</v>
      </c>
      <c r="N184" t="s">
        <v>272</v>
      </c>
      <c r="O184" t="str">
        <f>_xlfn.XLOOKUP(J184, reason[survey_id], reason[reason_for_purchase])</f>
        <v>pet-friendly or safe for children</v>
      </c>
      <c r="P184" t="s">
        <v>531</v>
      </c>
      <c r="Q184" t="s">
        <v>536</v>
      </c>
      <c r="R184" t="s">
        <v>532</v>
      </c>
    </row>
    <row r="185" spans="10:18" x14ac:dyDescent="0.3">
      <c r="J185" t="s">
        <v>323</v>
      </c>
      <c r="K185" t="s">
        <v>43</v>
      </c>
      <c r="L185" t="str">
        <f>_xlfn.XLOOKUP(K185, plant_info[plant], plant_info[maintenance-requirements])</f>
        <v>low-maintenance</v>
      </c>
      <c r="M185" t="str">
        <f>_xlfn.XLOOKUP(responses[[#This Row],[plant_types]], plant_info[plant], plant_info[toxic])</f>
        <v>safe for pets &amp; children</v>
      </c>
      <c r="N185" t="s">
        <v>324</v>
      </c>
      <c r="O185" t="str">
        <f>_xlfn.XLOOKUP(J185, reason[survey_id], reason[reason_for_purchase])</f>
        <v>benefits</v>
      </c>
      <c r="P185" t="s">
        <v>531</v>
      </c>
      <c r="Q185" t="s">
        <v>534</v>
      </c>
      <c r="R185" t="s">
        <v>530</v>
      </c>
    </row>
    <row r="186" spans="10:18" x14ac:dyDescent="0.3">
      <c r="J186" t="s">
        <v>143</v>
      </c>
      <c r="K186" t="s">
        <v>84</v>
      </c>
      <c r="L186" t="str">
        <f>_xlfn.XLOOKUP(K186, plant_info[plant], plant_info[maintenance-requirements])</f>
        <v>low-maintenance</v>
      </c>
      <c r="M186" t="str">
        <f>_xlfn.XLOOKUP(responses[[#This Row],[plant_types]], plant_info[plant], plant_info[toxic])</f>
        <v>safe for pets &amp; children</v>
      </c>
      <c r="N186" t="s">
        <v>144</v>
      </c>
      <c r="O186" t="str">
        <f>_xlfn.XLOOKUP(J186, reason[survey_id], reason[reason_for_purchase])</f>
        <v>benefits</v>
      </c>
      <c r="P186" t="s">
        <v>531</v>
      </c>
      <c r="Q186" t="s">
        <v>534</v>
      </c>
      <c r="R186" t="s">
        <v>532</v>
      </c>
    </row>
    <row r="187" spans="10:18" x14ac:dyDescent="0.3">
      <c r="J187" t="s">
        <v>91</v>
      </c>
      <c r="K187" t="s">
        <v>35</v>
      </c>
      <c r="L187" t="str">
        <f>_xlfn.XLOOKUP(K187, plant_info[plant], plant_info[maintenance-requirements])</f>
        <v>low-maintenance</v>
      </c>
      <c r="M187" t="str">
        <f>_xlfn.XLOOKUP(responses[[#This Row],[plant_types]], plant_info[plant], plant_info[toxic])</f>
        <v>safe for pets &amp; children</v>
      </c>
      <c r="N187" t="s">
        <v>92</v>
      </c>
      <c r="O187" t="str">
        <f>_xlfn.XLOOKUP(J187, reason[survey_id], reason[reason_for_purchase])</f>
        <v>pet-friendly or safe for children</v>
      </c>
      <c r="P187" t="s">
        <v>531</v>
      </c>
      <c r="Q187" t="s">
        <v>536</v>
      </c>
      <c r="R187" t="s">
        <v>530</v>
      </c>
    </row>
    <row r="188" spans="10:18" x14ac:dyDescent="0.3">
      <c r="J188" t="s">
        <v>193</v>
      </c>
      <c r="K188" t="s">
        <v>84</v>
      </c>
      <c r="L188" t="str">
        <f>_xlfn.XLOOKUP(K188, plant_info[plant], plant_info[maintenance-requirements])</f>
        <v>low-maintenance</v>
      </c>
      <c r="M188" t="str">
        <f>_xlfn.XLOOKUP(responses[[#This Row],[plant_types]], plant_info[plant], plant_info[toxic])</f>
        <v>safe for pets &amp; children</v>
      </c>
      <c r="N188" t="s">
        <v>194</v>
      </c>
      <c r="O188" t="str">
        <f>_xlfn.XLOOKUP(J188, reason[survey_id], reason[reason_for_purchase])</f>
        <v>size</v>
      </c>
      <c r="P188" t="s">
        <v>528</v>
      </c>
      <c r="Q188" t="s">
        <v>536</v>
      </c>
      <c r="R188" t="s">
        <v>532</v>
      </c>
    </row>
    <row r="189" spans="10:18" x14ac:dyDescent="0.3">
      <c r="J189" t="s">
        <v>345</v>
      </c>
      <c r="K189" t="s">
        <v>67</v>
      </c>
      <c r="L189" t="str">
        <f>_xlfn.XLOOKUP(K189, plant_info[plant], plant_info[maintenance-requirements])</f>
        <v>high-maintenance</v>
      </c>
      <c r="M189" t="str">
        <f>_xlfn.XLOOKUP(responses[[#This Row],[plant_types]], plant_info[plant], plant_info[toxic])</f>
        <v>safe for pets &amp; children</v>
      </c>
      <c r="N189" t="s">
        <v>346</v>
      </c>
      <c r="O189" t="str">
        <f>_xlfn.XLOOKUP(J189, reason[survey_id], reason[reason_for_purchase])</f>
        <v>benefits</v>
      </c>
      <c r="P189" t="s">
        <v>528</v>
      </c>
      <c r="Q189" t="s">
        <v>536</v>
      </c>
      <c r="R189" t="s">
        <v>532</v>
      </c>
    </row>
    <row r="190" spans="10:18" x14ac:dyDescent="0.3">
      <c r="J190" t="s">
        <v>281</v>
      </c>
      <c r="K190" t="s">
        <v>68</v>
      </c>
      <c r="L190" t="str">
        <f>_xlfn.XLOOKUP(K190, plant_info[plant], plant_info[maintenance-requirements])</f>
        <v>low-maintenance</v>
      </c>
      <c r="M190" t="str">
        <f>_xlfn.XLOOKUP(responses[[#This Row],[plant_types]], plant_info[plant], plant_info[toxic])</f>
        <v>safe for pets &amp; children</v>
      </c>
      <c r="N190" t="s">
        <v>282</v>
      </c>
      <c r="O190" t="str">
        <f>_xlfn.XLOOKUP(J190, reason[survey_id], reason[reason_for_purchase])</f>
        <v>pet-friendly or safe for children</v>
      </c>
      <c r="P190" t="s">
        <v>538</v>
      </c>
      <c r="Q190" t="s">
        <v>539</v>
      </c>
      <c r="R190" t="s">
        <v>530</v>
      </c>
    </row>
    <row r="191" spans="10:18" x14ac:dyDescent="0.3">
      <c r="J191" t="s">
        <v>257</v>
      </c>
      <c r="K191" t="s">
        <v>70</v>
      </c>
      <c r="L191" t="str">
        <f>_xlfn.XLOOKUP(K191, plant_info[plant], plant_info[maintenance-requirements])</f>
        <v>low-maintenance</v>
      </c>
      <c r="M191" t="str">
        <f>_xlfn.XLOOKUP(responses[[#This Row],[plant_types]], plant_info[plant], plant_info[toxic])</f>
        <v>safe for pets &amp; children</v>
      </c>
      <c r="N191" t="s">
        <v>258</v>
      </c>
      <c r="O191" t="str">
        <f>_xlfn.XLOOKUP(J191, reason[survey_id], reason[reason_for_purchase])</f>
        <v>pet-friendly or safe for children</v>
      </c>
      <c r="P191" t="s">
        <v>528</v>
      </c>
      <c r="Q191" t="s">
        <v>539</v>
      </c>
      <c r="R191" t="s">
        <v>530</v>
      </c>
    </row>
    <row r="192" spans="10:18" x14ac:dyDescent="0.3">
      <c r="J192" t="s">
        <v>449</v>
      </c>
      <c r="K192" t="s">
        <v>84</v>
      </c>
      <c r="L192" t="str">
        <f>_xlfn.XLOOKUP(K192, plant_info[plant], plant_info[maintenance-requirements])</f>
        <v>low-maintenance</v>
      </c>
      <c r="M192" t="str">
        <f>_xlfn.XLOOKUP(responses[[#This Row],[plant_types]], plant_info[plant], plant_info[toxic])</f>
        <v>safe for pets &amp; children</v>
      </c>
      <c r="N192" t="s">
        <v>450</v>
      </c>
      <c r="O192" t="str">
        <f>_xlfn.XLOOKUP(J192, reason[survey_id], reason[reason_for_purchase])</f>
        <v>rare or unique species</v>
      </c>
      <c r="P192" t="s">
        <v>531</v>
      </c>
      <c r="Q192" t="s">
        <v>529</v>
      </c>
      <c r="R192" t="s">
        <v>532</v>
      </c>
    </row>
    <row r="193" spans="10:18" x14ac:dyDescent="0.3">
      <c r="J193" t="s">
        <v>119</v>
      </c>
      <c r="K193" t="s">
        <v>55</v>
      </c>
      <c r="L193" t="str">
        <f>_xlfn.XLOOKUP(K193, plant_info[plant], plant_info[maintenance-requirements])</f>
        <v>low-maintenance</v>
      </c>
      <c r="M193" t="str">
        <f>_xlfn.XLOOKUP(responses[[#This Row],[plant_types]], plant_info[plant], plant_info[toxic])</f>
        <v>safe for pets &amp; children</v>
      </c>
      <c r="N193" t="s">
        <v>120</v>
      </c>
      <c r="O193" t="str">
        <f>_xlfn.XLOOKUP(J193, reason[survey_id], reason[reason_for_purchase])</f>
        <v>benefits</v>
      </c>
      <c r="P193" t="s">
        <v>528</v>
      </c>
      <c r="Q193" t="s">
        <v>541</v>
      </c>
      <c r="R193" t="s">
        <v>530</v>
      </c>
    </row>
    <row r="194" spans="10:18" x14ac:dyDescent="0.3">
      <c r="J194" t="s">
        <v>516</v>
      </c>
      <c r="K194" t="s">
        <v>84</v>
      </c>
      <c r="L194" t="str">
        <f>_xlfn.XLOOKUP(K194, plant_info[plant], plant_info[maintenance-requirements])</f>
        <v>low-maintenance</v>
      </c>
      <c r="M194" t="str">
        <f>_xlfn.XLOOKUP(responses[[#This Row],[plant_types]], plant_info[plant], plant_info[toxic])</f>
        <v>safe for pets &amp; children</v>
      </c>
      <c r="N194" t="s">
        <v>517</v>
      </c>
      <c r="O194" t="str">
        <f>_xlfn.XLOOKUP(J194, reason[survey_id], reason[reason_for_purchase])</f>
        <v>benefits</v>
      </c>
      <c r="P194" t="s">
        <v>543</v>
      </c>
      <c r="Q194" t="s">
        <v>529</v>
      </c>
      <c r="R194" t="s">
        <v>530</v>
      </c>
    </row>
    <row r="195" spans="10:18" x14ac:dyDescent="0.3">
      <c r="J195" t="s">
        <v>112</v>
      </c>
      <c r="K195" t="s">
        <v>35</v>
      </c>
      <c r="L195" t="str">
        <f>_xlfn.XLOOKUP(K195, plant_info[plant], plant_info[maintenance-requirements])</f>
        <v>low-maintenance</v>
      </c>
      <c r="M195" t="str">
        <f>_xlfn.XLOOKUP(responses[[#This Row],[plant_types]], plant_info[plant], plant_info[toxic])</f>
        <v>safe for pets &amp; children</v>
      </c>
      <c r="N195" t="s">
        <v>113</v>
      </c>
      <c r="O195" t="str">
        <f>_xlfn.XLOOKUP(J195, reason[survey_id], reason[reason_for_purchase])</f>
        <v>pet-friendly or safe for children</v>
      </c>
      <c r="P195" t="s">
        <v>538</v>
      </c>
      <c r="Q195" t="s">
        <v>529</v>
      </c>
      <c r="R195" t="s">
        <v>535</v>
      </c>
    </row>
    <row r="196" spans="10:18" x14ac:dyDescent="0.3">
      <c r="J196" t="s">
        <v>393</v>
      </c>
      <c r="K196" t="s">
        <v>55</v>
      </c>
      <c r="L196" t="str">
        <f>_xlfn.XLOOKUP(K196, plant_info[plant], plant_info[maintenance-requirements])</f>
        <v>low-maintenance</v>
      </c>
      <c r="M196" t="str">
        <f>_xlfn.XLOOKUP(responses[[#This Row],[plant_types]], plant_info[plant], plant_info[toxic])</f>
        <v>safe for pets &amp; children</v>
      </c>
      <c r="N196" t="s">
        <v>394</v>
      </c>
      <c r="O196" t="str">
        <f>_xlfn.XLOOKUP(J196, reason[survey_id], reason[reason_for_purchase])</f>
        <v>price</v>
      </c>
      <c r="P196" t="s">
        <v>531</v>
      </c>
      <c r="Q196" t="s">
        <v>529</v>
      </c>
      <c r="R196" t="s">
        <v>532</v>
      </c>
    </row>
    <row r="197" spans="10:18" x14ac:dyDescent="0.3">
      <c r="J197" t="s">
        <v>98</v>
      </c>
      <c r="K197" t="s">
        <v>68</v>
      </c>
      <c r="L197" t="str">
        <f>_xlfn.XLOOKUP(K197, plant_info[plant], plant_info[maintenance-requirements])</f>
        <v>low-maintenance</v>
      </c>
      <c r="M197" t="str">
        <f>_xlfn.XLOOKUP(responses[[#This Row],[plant_types]], plant_info[plant], plant_info[toxic])</f>
        <v>safe for pets &amp; children</v>
      </c>
      <c r="N197" t="s">
        <v>99</v>
      </c>
      <c r="O197" t="str">
        <f>_xlfn.XLOOKUP(J197, reason[survey_id], reason[reason_for_purchase])</f>
        <v>size</v>
      </c>
      <c r="P197" t="s">
        <v>528</v>
      </c>
      <c r="Q197" t="s">
        <v>536</v>
      </c>
      <c r="R197" t="s">
        <v>535</v>
      </c>
    </row>
    <row r="198" spans="10:18" x14ac:dyDescent="0.3">
      <c r="J198" t="s">
        <v>349</v>
      </c>
      <c r="K198" t="s">
        <v>81</v>
      </c>
      <c r="L198" t="str">
        <f>_xlfn.XLOOKUP(K198, plant_info[plant], plant_info[maintenance-requirements])</f>
        <v>med-maintenance</v>
      </c>
      <c r="M198" t="str">
        <f>_xlfn.XLOOKUP(responses[[#This Row],[plant_types]], plant_info[plant], plant_info[toxic])</f>
        <v>safe for pets &amp; children</v>
      </c>
      <c r="N198" t="s">
        <v>350</v>
      </c>
      <c r="O198" t="str">
        <f>_xlfn.XLOOKUP(J198, reason[survey_id], reason[reason_for_purchase])</f>
        <v>care requirements</v>
      </c>
      <c r="P198" t="s">
        <v>531</v>
      </c>
      <c r="Q198" t="s">
        <v>534</v>
      </c>
      <c r="R198" t="s">
        <v>537</v>
      </c>
    </row>
    <row r="199" spans="10:18" x14ac:dyDescent="0.3">
      <c r="J199" t="s">
        <v>295</v>
      </c>
      <c r="K199" t="s">
        <v>35</v>
      </c>
      <c r="L199" t="str">
        <f>_xlfn.XLOOKUP(K199, plant_info[plant], plant_info[maintenance-requirements])</f>
        <v>low-maintenance</v>
      </c>
      <c r="M199" t="str">
        <f>_xlfn.XLOOKUP(responses[[#This Row],[plant_types]], plant_info[plant], plant_info[toxic])</f>
        <v>safe for pets &amp; children</v>
      </c>
      <c r="N199" t="s">
        <v>296</v>
      </c>
      <c r="O199" t="str">
        <f>_xlfn.XLOOKUP(J199, reason[survey_id], reason[reason_for_purchase])</f>
        <v>benefits</v>
      </c>
      <c r="P199" t="s">
        <v>531</v>
      </c>
      <c r="Q199" t="s">
        <v>539</v>
      </c>
      <c r="R199" t="s">
        <v>530</v>
      </c>
    </row>
    <row r="200" spans="10:18" x14ac:dyDescent="0.3">
      <c r="J200" t="s">
        <v>173</v>
      </c>
      <c r="K200" t="s">
        <v>50</v>
      </c>
      <c r="L200" t="str">
        <f>_xlfn.XLOOKUP(K200, plant_info[plant], plant_info[maintenance-requirements])</f>
        <v>med-maintenance</v>
      </c>
      <c r="M200" t="str">
        <f>_xlfn.XLOOKUP(responses[[#This Row],[plant_types]], plant_info[plant], plant_info[toxic])</f>
        <v>safe for pets &amp; children</v>
      </c>
      <c r="N200" t="s">
        <v>174</v>
      </c>
      <c r="O200" t="str">
        <f>_xlfn.XLOOKUP(J200, reason[survey_id], reason[reason_for_purchase])</f>
        <v>price</v>
      </c>
      <c r="P200" t="s">
        <v>531</v>
      </c>
      <c r="Q200" t="s">
        <v>536</v>
      </c>
      <c r="R200" t="s">
        <v>535</v>
      </c>
    </row>
    <row r="201" spans="10:18" x14ac:dyDescent="0.3">
      <c r="J201" t="s">
        <v>181</v>
      </c>
      <c r="K201" t="s">
        <v>55</v>
      </c>
      <c r="L201" t="str">
        <f>_xlfn.XLOOKUP(K201, plant_info[plant], plant_info[maintenance-requirements])</f>
        <v>low-maintenance</v>
      </c>
      <c r="M201" t="str">
        <f>_xlfn.XLOOKUP(responses[[#This Row],[plant_types]], plant_info[plant], plant_info[toxic])</f>
        <v>safe for pets &amp; children</v>
      </c>
      <c r="N201" t="s">
        <v>182</v>
      </c>
      <c r="O201" t="str">
        <f>_xlfn.XLOOKUP(J201, reason[survey_id], reason[reason_for_purchase])</f>
        <v>pet-friendly or safe for children</v>
      </c>
      <c r="P201" t="s">
        <v>531</v>
      </c>
      <c r="Q201" t="s">
        <v>536</v>
      </c>
      <c r="R201" t="s">
        <v>532</v>
      </c>
    </row>
    <row r="202" spans="10:18" x14ac:dyDescent="0.3">
      <c r="J202" t="s">
        <v>229</v>
      </c>
      <c r="K202" t="s">
        <v>70</v>
      </c>
      <c r="L202" t="str">
        <f>_xlfn.XLOOKUP(K202, plant_info[plant], plant_info[maintenance-requirements])</f>
        <v>low-maintenance</v>
      </c>
      <c r="M202" t="str">
        <f>_xlfn.XLOOKUP(responses[[#This Row],[plant_types]], plant_info[plant], plant_info[toxic])</f>
        <v>safe for pets &amp; children</v>
      </c>
      <c r="N202" t="s">
        <v>230</v>
      </c>
      <c r="O202" t="str">
        <f>_xlfn.XLOOKUP(J202, reason[survey_id], reason[reason_for_purchase])</f>
        <v>rare or unique species</v>
      </c>
      <c r="P202" t="s">
        <v>528</v>
      </c>
      <c r="Q202" t="s">
        <v>541</v>
      </c>
      <c r="R202" t="s">
        <v>530</v>
      </c>
    </row>
    <row r="203" spans="10:18" x14ac:dyDescent="0.3">
      <c r="J203" t="s">
        <v>453</v>
      </c>
      <c r="K203" t="s">
        <v>68</v>
      </c>
      <c r="L203" t="str">
        <f>_xlfn.XLOOKUP(K203, plant_info[plant], plant_info[maintenance-requirements])</f>
        <v>low-maintenance</v>
      </c>
      <c r="M203" t="str">
        <f>_xlfn.XLOOKUP(responses[[#This Row],[plant_types]], plant_info[plant], plant_info[toxic])</f>
        <v>safe for pets &amp; children</v>
      </c>
      <c r="N203" t="s">
        <v>454</v>
      </c>
      <c r="O203" t="str">
        <f>_xlfn.XLOOKUP(J203, reason[survey_id], reason[reason_for_purchase])</f>
        <v>size</v>
      </c>
      <c r="P203" t="s">
        <v>528</v>
      </c>
      <c r="Q203" t="s">
        <v>536</v>
      </c>
      <c r="R203" t="s">
        <v>540</v>
      </c>
    </row>
    <row r="204" spans="10:18" x14ac:dyDescent="0.3">
      <c r="J204" t="s">
        <v>117</v>
      </c>
      <c r="K204" t="s">
        <v>35</v>
      </c>
      <c r="L204" t="str">
        <f>_xlfn.XLOOKUP(K204, plant_info[plant], plant_info[maintenance-requirements])</f>
        <v>low-maintenance</v>
      </c>
      <c r="M204" t="str">
        <f>_xlfn.XLOOKUP(responses[[#This Row],[plant_types]], plant_info[plant], plant_info[toxic])</f>
        <v>safe for pets &amp; children</v>
      </c>
      <c r="N204" t="s">
        <v>118</v>
      </c>
      <c r="O204" t="str">
        <f>_xlfn.XLOOKUP(J204, reason[survey_id], reason[reason_for_purchase])</f>
        <v>rare or unique species</v>
      </c>
      <c r="P204" t="s">
        <v>528</v>
      </c>
      <c r="Q204" t="s">
        <v>534</v>
      </c>
      <c r="R204" t="s">
        <v>537</v>
      </c>
    </row>
    <row r="205" spans="10:18" x14ac:dyDescent="0.3">
      <c r="J205" t="s">
        <v>409</v>
      </c>
      <c r="K205" t="s">
        <v>60</v>
      </c>
      <c r="L205" t="str">
        <f>_xlfn.XLOOKUP(K205, plant_info[plant], plant_info[maintenance-requirements])</f>
        <v>med-maintenance</v>
      </c>
      <c r="M205" t="str">
        <f>_xlfn.XLOOKUP(responses[[#This Row],[plant_types]], plant_info[plant], plant_info[toxic])</f>
        <v>safe for pets &amp; children</v>
      </c>
      <c r="N205" t="s">
        <v>410</v>
      </c>
      <c r="O205" t="str">
        <f>_xlfn.XLOOKUP(J205, reason[survey_id], reason[reason_for_purchase])</f>
        <v>care requirements</v>
      </c>
      <c r="P205" t="s">
        <v>528</v>
      </c>
      <c r="Q205" t="s">
        <v>529</v>
      </c>
      <c r="R205" t="s">
        <v>535</v>
      </c>
    </row>
    <row r="206" spans="10:18" x14ac:dyDescent="0.3">
      <c r="J206" t="s">
        <v>333</v>
      </c>
      <c r="K206" t="s">
        <v>70</v>
      </c>
      <c r="L206" t="str">
        <f>_xlfn.XLOOKUP(K206, plant_info[plant], plant_info[maintenance-requirements])</f>
        <v>low-maintenance</v>
      </c>
      <c r="M206" t="str">
        <f>_xlfn.XLOOKUP(responses[[#This Row],[plant_types]], plant_info[plant], plant_info[toxic])</f>
        <v>safe for pets &amp; children</v>
      </c>
      <c r="N206" t="s">
        <v>334</v>
      </c>
      <c r="O206" t="str">
        <f>_xlfn.XLOOKUP(J206, reason[survey_id], reason[reason_for_purchase])</f>
        <v>benefits</v>
      </c>
      <c r="P206" t="s">
        <v>528</v>
      </c>
      <c r="Q206" t="s">
        <v>539</v>
      </c>
      <c r="R206" t="s">
        <v>537</v>
      </c>
    </row>
    <row r="207" spans="10:18" x14ac:dyDescent="0.3">
      <c r="J207" t="s">
        <v>227</v>
      </c>
      <c r="K207" t="s">
        <v>68</v>
      </c>
      <c r="L207" t="str">
        <f>_xlfn.XLOOKUP(K207, plant_info[plant], plant_info[maintenance-requirements])</f>
        <v>low-maintenance</v>
      </c>
      <c r="M207" t="str">
        <f>_xlfn.XLOOKUP(responses[[#This Row],[plant_types]], plant_info[plant], plant_info[toxic])</f>
        <v>safe for pets &amp; children</v>
      </c>
      <c r="N207" t="s">
        <v>228</v>
      </c>
      <c r="O207" t="str">
        <f>_xlfn.XLOOKUP(J207, reason[survey_id], reason[reason_for_purchase])</f>
        <v>pet-friendly or safe for children</v>
      </c>
      <c r="P207" t="s">
        <v>531</v>
      </c>
      <c r="Q207" t="s">
        <v>529</v>
      </c>
      <c r="R207" t="s">
        <v>532</v>
      </c>
    </row>
    <row r="208" spans="10:18" x14ac:dyDescent="0.3">
      <c r="J208" t="s">
        <v>353</v>
      </c>
      <c r="K208" t="s">
        <v>46</v>
      </c>
      <c r="L208" t="str">
        <f>_xlfn.XLOOKUP(K208, plant_info[plant], plant_info[maintenance-requirements])</f>
        <v>med-maintenance</v>
      </c>
      <c r="M208" t="str">
        <f>_xlfn.XLOOKUP(responses[[#This Row],[plant_types]], plant_info[plant], plant_info[toxic])</f>
        <v>safe for pets &amp; children</v>
      </c>
      <c r="N208" t="s">
        <v>354</v>
      </c>
      <c r="O208" t="str">
        <f>_xlfn.XLOOKUP(J208, reason[survey_id], reason[reason_for_purchase])</f>
        <v>pet-friendly or safe for children</v>
      </c>
      <c r="P208" t="s">
        <v>538</v>
      </c>
      <c r="Q208" t="s">
        <v>541</v>
      </c>
      <c r="R208" t="s">
        <v>537</v>
      </c>
    </row>
    <row r="209" spans="10:18" x14ac:dyDescent="0.3">
      <c r="J209" t="s">
        <v>457</v>
      </c>
      <c r="K209" t="s">
        <v>55</v>
      </c>
      <c r="L209" t="str">
        <f>_xlfn.XLOOKUP(K209, plant_info[plant], plant_info[maintenance-requirements])</f>
        <v>low-maintenance</v>
      </c>
      <c r="M209" t="str">
        <f>_xlfn.XLOOKUP(responses[[#This Row],[plant_types]], plant_info[plant], plant_info[toxic])</f>
        <v>safe for pets &amp; children</v>
      </c>
      <c r="N209" t="s">
        <v>458</v>
      </c>
      <c r="O209" t="str">
        <f>_xlfn.XLOOKUP(J209, reason[survey_id], reason[reason_for_purchase])</f>
        <v>care requirements</v>
      </c>
      <c r="P209" t="s">
        <v>533</v>
      </c>
      <c r="Q209" t="s">
        <v>529</v>
      </c>
      <c r="R209" t="s">
        <v>530</v>
      </c>
    </row>
    <row r="210" spans="10:18" x14ac:dyDescent="0.3">
      <c r="J210" t="s">
        <v>496</v>
      </c>
      <c r="K210" t="s">
        <v>71</v>
      </c>
      <c r="L210" t="str">
        <f>_xlfn.XLOOKUP(K210, plant_info[plant], plant_info[maintenance-requirements])</f>
        <v>med-maintenance</v>
      </c>
      <c r="M210" t="str">
        <f>_xlfn.XLOOKUP(responses[[#This Row],[plant_types]], plant_info[plant], plant_info[toxic])</f>
        <v>safe for pets &amp; children</v>
      </c>
      <c r="N210" t="s">
        <v>497</v>
      </c>
      <c r="O210" t="str">
        <f>_xlfn.XLOOKUP(J210, reason[survey_id], reason[reason_for_purchase])</f>
        <v>benefits</v>
      </c>
      <c r="P210" t="s">
        <v>531</v>
      </c>
      <c r="Q210" t="s">
        <v>529</v>
      </c>
      <c r="R210" t="s">
        <v>542</v>
      </c>
    </row>
    <row r="211" spans="10:18" x14ac:dyDescent="0.3">
      <c r="J211" t="s">
        <v>155</v>
      </c>
      <c r="K211" t="s">
        <v>43</v>
      </c>
      <c r="L211" t="str">
        <f>_xlfn.XLOOKUP(K211, plant_info[plant], plant_info[maintenance-requirements])</f>
        <v>low-maintenance</v>
      </c>
      <c r="M211" t="str">
        <f>_xlfn.XLOOKUP(responses[[#This Row],[plant_types]], plant_info[plant], plant_info[toxic])</f>
        <v>safe for pets &amp; children</v>
      </c>
      <c r="N211" t="s">
        <v>156</v>
      </c>
      <c r="O211" t="str">
        <f>_xlfn.XLOOKUP(J211, reason[survey_id], reason[reason_for_purchase])</f>
        <v>rare or unique species</v>
      </c>
      <c r="P211" t="s">
        <v>538</v>
      </c>
      <c r="Q211" t="s">
        <v>541</v>
      </c>
      <c r="R211" t="s">
        <v>532</v>
      </c>
    </row>
    <row r="212" spans="10:18" x14ac:dyDescent="0.3">
      <c r="J212" t="s">
        <v>169</v>
      </c>
      <c r="K212" t="s">
        <v>68</v>
      </c>
      <c r="L212" t="str">
        <f>_xlfn.XLOOKUP(K212, plant_info[plant], plant_info[maintenance-requirements])</f>
        <v>low-maintenance</v>
      </c>
      <c r="M212" t="str">
        <f>_xlfn.XLOOKUP(responses[[#This Row],[plant_types]], plant_info[plant], plant_info[toxic])</f>
        <v>safe for pets &amp; children</v>
      </c>
      <c r="N212" t="s">
        <v>170</v>
      </c>
      <c r="O212" t="str">
        <f>_xlfn.XLOOKUP(J212, reason[survey_id], reason[reason_for_purchase])</f>
        <v>care requirements</v>
      </c>
      <c r="P212" t="s">
        <v>528</v>
      </c>
      <c r="Q212" t="s">
        <v>529</v>
      </c>
      <c r="R212" t="s">
        <v>530</v>
      </c>
    </row>
    <row r="213" spans="10:18" x14ac:dyDescent="0.3">
      <c r="J213" t="s">
        <v>147</v>
      </c>
      <c r="K213" t="s">
        <v>43</v>
      </c>
      <c r="L213" t="str">
        <f>_xlfn.XLOOKUP(K213, plant_info[plant], plant_info[maintenance-requirements])</f>
        <v>low-maintenance</v>
      </c>
      <c r="M213" t="str">
        <f>_xlfn.XLOOKUP(responses[[#This Row],[plant_types]], plant_info[plant], plant_info[toxic])</f>
        <v>safe for pets &amp; children</v>
      </c>
      <c r="N213" t="s">
        <v>148</v>
      </c>
      <c r="O213" t="str">
        <f>_xlfn.XLOOKUP(J213, reason[survey_id], reason[reason_for_purchase])</f>
        <v>pet-friendly or safe for children</v>
      </c>
      <c r="P213" t="s">
        <v>533</v>
      </c>
      <c r="Q213" t="s">
        <v>529</v>
      </c>
      <c r="R213" t="s">
        <v>535</v>
      </c>
    </row>
    <row r="214" spans="10:18" x14ac:dyDescent="0.3">
      <c r="J214" t="s">
        <v>253</v>
      </c>
      <c r="K214" t="s">
        <v>43</v>
      </c>
      <c r="L214" t="str">
        <f>_xlfn.XLOOKUP(K214, plant_info[plant], plant_info[maintenance-requirements])</f>
        <v>low-maintenance</v>
      </c>
      <c r="M214" t="str">
        <f>_xlfn.XLOOKUP(responses[[#This Row],[plant_types]], plant_info[plant], plant_info[toxic])</f>
        <v>safe for pets &amp; children</v>
      </c>
      <c r="N214" t="s">
        <v>254</v>
      </c>
      <c r="O214" t="str">
        <f>_xlfn.XLOOKUP(J214, reason[survey_id], reason[reason_for_purchase])</f>
        <v>care requirements</v>
      </c>
      <c r="P214" t="s">
        <v>531</v>
      </c>
      <c r="Q214" t="s">
        <v>534</v>
      </c>
      <c r="R214" t="s">
        <v>537</v>
      </c>
    </row>
    <row r="215" spans="10:18" x14ac:dyDescent="0.3">
      <c r="J215" t="s">
        <v>417</v>
      </c>
      <c r="K215" t="s">
        <v>78</v>
      </c>
      <c r="L215" t="str">
        <f>_xlfn.XLOOKUP(K215, plant_info[plant], plant_info[maintenance-requirements])</f>
        <v>low-maintenance</v>
      </c>
      <c r="M215" t="str">
        <f>_xlfn.XLOOKUP(responses[[#This Row],[plant_types]], plant_info[plant], plant_info[toxic])</f>
        <v>safe for pets &amp; children</v>
      </c>
      <c r="N215" t="s">
        <v>418</v>
      </c>
      <c r="O215" t="str">
        <f>_xlfn.XLOOKUP(J215, reason[survey_id], reason[reason_for_purchase])</f>
        <v>pet-friendly or safe for children</v>
      </c>
      <c r="P215" t="s">
        <v>533</v>
      </c>
      <c r="Q215" t="s">
        <v>529</v>
      </c>
      <c r="R215" t="s">
        <v>535</v>
      </c>
    </row>
    <row r="216" spans="10:18" x14ac:dyDescent="0.3">
      <c r="J216" t="s">
        <v>233</v>
      </c>
      <c r="K216" t="s">
        <v>43</v>
      </c>
      <c r="L216" t="str">
        <f>_xlfn.XLOOKUP(K216, plant_info[plant], plant_info[maintenance-requirements])</f>
        <v>low-maintenance</v>
      </c>
      <c r="M216" t="str">
        <f>_xlfn.XLOOKUP(responses[[#This Row],[plant_types]], plant_info[plant], plant_info[toxic])</f>
        <v>safe for pets &amp; children</v>
      </c>
      <c r="N216" t="s">
        <v>234</v>
      </c>
      <c r="O216" t="str">
        <f>_xlfn.XLOOKUP(J216, reason[survey_id], reason[reason_for_purchase])</f>
        <v>care requirements</v>
      </c>
      <c r="P216" t="s">
        <v>528</v>
      </c>
      <c r="Q216" t="s">
        <v>534</v>
      </c>
      <c r="R216" t="s">
        <v>535</v>
      </c>
    </row>
    <row r="217" spans="10:18" x14ac:dyDescent="0.3">
      <c r="J217" t="s">
        <v>191</v>
      </c>
      <c r="K217" t="s">
        <v>65</v>
      </c>
      <c r="L217" t="str">
        <f>_xlfn.XLOOKUP(K217, plant_info[plant], plant_info[maintenance-requirements])</f>
        <v>high-maintenance</v>
      </c>
      <c r="M217" t="str">
        <f>_xlfn.XLOOKUP(responses[[#This Row],[plant_types]], plant_info[plant], plant_info[toxic])</f>
        <v>safe for pets &amp; children</v>
      </c>
      <c r="N217" t="s">
        <v>192</v>
      </c>
      <c r="O217" t="str">
        <f>_xlfn.XLOOKUP(J217, reason[survey_id], reason[reason_for_purchase])</f>
        <v>size</v>
      </c>
      <c r="P217" t="s">
        <v>533</v>
      </c>
      <c r="Q217" t="s">
        <v>536</v>
      </c>
      <c r="R217" t="s">
        <v>535</v>
      </c>
    </row>
    <row r="218" spans="10:18" x14ac:dyDescent="0.3">
      <c r="J218" t="s">
        <v>373</v>
      </c>
      <c r="K218" t="s">
        <v>68</v>
      </c>
      <c r="L218" t="str">
        <f>_xlfn.XLOOKUP(K218, plant_info[plant], plant_info[maintenance-requirements])</f>
        <v>low-maintenance</v>
      </c>
      <c r="M218" t="str">
        <f>_xlfn.XLOOKUP(responses[[#This Row],[plant_types]], plant_info[plant], plant_info[toxic])</f>
        <v>safe for pets &amp; children</v>
      </c>
      <c r="N218" t="s">
        <v>374</v>
      </c>
      <c r="O218" t="str">
        <f>_xlfn.XLOOKUP(J218, reason[survey_id], reason[reason_for_purchase])</f>
        <v>pet-friendly or safe for children</v>
      </c>
      <c r="P218" t="s">
        <v>528</v>
      </c>
      <c r="Q218" t="s">
        <v>536</v>
      </c>
      <c r="R218" t="s">
        <v>530</v>
      </c>
    </row>
  </sheetData>
  <mergeCells count="46">
    <mergeCell ref="A72:C75"/>
    <mergeCell ref="E63:F63"/>
    <mergeCell ref="A44:C46"/>
    <mergeCell ref="B64:C66"/>
    <mergeCell ref="A67:A68"/>
    <mergeCell ref="B67:C68"/>
    <mergeCell ref="B69:C71"/>
    <mergeCell ref="A69:A71"/>
    <mergeCell ref="A61:C63"/>
    <mergeCell ref="A64:A66"/>
    <mergeCell ref="A48:C58"/>
    <mergeCell ref="A60:C60"/>
    <mergeCell ref="E19:G19"/>
    <mergeCell ref="A43:C43"/>
    <mergeCell ref="B47:C47"/>
    <mergeCell ref="A37:A39"/>
    <mergeCell ref="B37:B39"/>
    <mergeCell ref="C37:C39"/>
    <mergeCell ref="A40:A41"/>
    <mergeCell ref="B40:B41"/>
    <mergeCell ref="C40:C41"/>
    <mergeCell ref="A27:C27"/>
    <mergeCell ref="A28:C30"/>
    <mergeCell ref="A31:A33"/>
    <mergeCell ref="B31:C33"/>
    <mergeCell ref="A34:A36"/>
    <mergeCell ref="B34:C36"/>
    <mergeCell ref="A22:A23"/>
    <mergeCell ref="B22:B23"/>
    <mergeCell ref="C22:C23"/>
    <mergeCell ref="A24:A25"/>
    <mergeCell ref="B24:B25"/>
    <mergeCell ref="C24:C25"/>
    <mergeCell ref="A11:C12"/>
    <mergeCell ref="A13:A15"/>
    <mergeCell ref="B13:C15"/>
    <mergeCell ref="A16:A18"/>
    <mergeCell ref="B16:C18"/>
    <mergeCell ref="A19:A20"/>
    <mergeCell ref="B19:C20"/>
    <mergeCell ref="A1:C3"/>
    <mergeCell ref="A4:C5"/>
    <mergeCell ref="B6:C6"/>
    <mergeCell ref="B7:C7"/>
    <mergeCell ref="B8:C8"/>
    <mergeCell ref="A10:C10"/>
  </mergeCells>
  <conditionalFormatting sqref="L1:M218 O1:O218">
    <cfRule type="expression" dxfId="0" priority="1" stopIfTrue="1">
      <formula>MOD(ROW(),2)=0</formula>
    </cfRule>
  </conditionalFormatting>
  <pageMargins left="0.7" right="0.7" top="0.75" bottom="0.75" header="0.3" footer="0.3"/>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data-dictionaries</vt:lpstr>
      <vt:lpstr>plant-info</vt:lpstr>
      <vt:lpstr>free-response-analysis</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Garg</dc:creator>
  <cp:lastModifiedBy>Ananya Garg</cp:lastModifiedBy>
  <dcterms:created xsi:type="dcterms:W3CDTF">2026-09-18T22:21:05Z</dcterms:created>
  <dcterms:modified xsi:type="dcterms:W3CDTF">2026-09-18T22:39:51Z</dcterms:modified>
</cp:coreProperties>
</file>