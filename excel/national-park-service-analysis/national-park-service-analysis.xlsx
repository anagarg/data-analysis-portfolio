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Ananya Garg UW\Third year\Summer 2026\GCA\"/>
    </mc:Choice>
  </mc:AlternateContent>
  <xr:revisionPtr revIDLastSave="0" documentId="13_ncr:1_{19A75809-B113-486E-8A0C-4F8FF9ED6868}" xr6:coauthVersionLast="47" xr6:coauthVersionMax="47" xr10:uidLastSave="{00000000-0000-0000-0000-000000000000}"/>
  <bookViews>
    <workbookView xWindow="-108" yWindow="-108" windowWidth="24792" windowHeight="13320" activeTab="2" xr2:uid="{200C5C40-0B13-45C8-B67E-8E43678590F6}"/>
  </bookViews>
  <sheets>
    <sheet name="Data Dictionary" sheetId="1" r:id="rId1"/>
    <sheet name="Site Data" sheetId="2"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48" i="3" l="1"/>
  <c r="C47" i="3"/>
  <c r="C46" i="3"/>
  <c r="C45" i="3"/>
  <c r="C37" i="3"/>
  <c r="C36" i="3"/>
  <c r="C35" i="3"/>
  <c r="C31" i="3"/>
  <c r="C26" i="3"/>
  <c r="C16" i="3"/>
  <c r="C15" i="3"/>
  <c r="C14" i="3"/>
  <c r="C38" i="3" l="1"/>
</calcChain>
</file>

<file path=xl/sharedStrings.xml><?xml version="1.0" encoding="utf-8"?>
<sst xmlns="http://schemas.openxmlformats.org/spreadsheetml/2006/main" count="1673" uniqueCount="541">
  <si>
    <t>Data Dictionary</t>
  </si>
  <si>
    <t>— sites_table</t>
  </si>
  <si>
    <t>column name</t>
  </si>
  <si>
    <t>description</t>
  </si>
  <si>
    <t>Site Name</t>
  </si>
  <si>
    <t>The name of the site</t>
  </si>
  <si>
    <t>Site Type</t>
  </si>
  <si>
    <t>The category of National Park Service site, describing what kind of location it is (for example, National Park, National Monument, National Recreation Area, or National Seashore).</t>
  </si>
  <si>
    <t>Region</t>
  </si>
  <si>
    <t>Region where the site is located</t>
  </si>
  <si>
    <t>State</t>
  </si>
  <si>
    <t>The state where the site is located.</t>
  </si>
  <si>
    <t>Recreation Visits</t>
  </si>
  <si>
    <t>Total visits by recreational visitors in 2024</t>
  </si>
  <si>
    <t>Tent Campers</t>
  </si>
  <si>
    <t>Overnight stays in tents.</t>
  </si>
  <si>
    <t>RV Campers</t>
  </si>
  <si>
    <t>Overnight stays in recreational vehicles (RVs).</t>
  </si>
  <si>
    <t>Backcountry Campers</t>
  </si>
  <si>
    <t>Overnight stays in the park's backcountry areas.</t>
  </si>
  <si>
    <t>Abraham Lincoln Birthplace NHP</t>
  </si>
  <si>
    <t>National Historical Park</t>
  </si>
  <si>
    <t xml:space="preserve">Southeast </t>
  </si>
  <si>
    <t>KY</t>
  </si>
  <si>
    <t>Acadia NP</t>
  </si>
  <si>
    <t>National Park</t>
  </si>
  <si>
    <t xml:space="preserve">Northeast </t>
  </si>
  <si>
    <t>ME</t>
  </si>
  <si>
    <t>Adams NHP</t>
  </si>
  <si>
    <t>MA</t>
  </si>
  <si>
    <t>African Burial Ground NM</t>
  </si>
  <si>
    <t>National Monument</t>
  </si>
  <si>
    <t>NY</t>
  </si>
  <si>
    <t>Agate Fossil Beds NM</t>
  </si>
  <si>
    <t xml:space="preserve">Midwest </t>
  </si>
  <si>
    <t>NE</t>
  </si>
  <si>
    <t>Alagnak WR</t>
  </si>
  <si>
    <t>National Wild &amp; Scenic River</t>
  </si>
  <si>
    <t>Alaska</t>
  </si>
  <si>
    <t>AK</t>
  </si>
  <si>
    <t>Alibates Flint Quarries NM</t>
  </si>
  <si>
    <t xml:space="preserve">Intermountain </t>
  </si>
  <si>
    <t>TX</t>
  </si>
  <si>
    <t>Allegheny Portage Railroad NHS</t>
  </si>
  <si>
    <t>National Historic Site</t>
  </si>
  <si>
    <t>PA</t>
  </si>
  <si>
    <t>Amache NHS</t>
  </si>
  <si>
    <t>CO</t>
  </si>
  <si>
    <t>Amistad NRA</t>
  </si>
  <si>
    <t>National Recreation Area</t>
  </si>
  <si>
    <t>Andersonville NHS</t>
  </si>
  <si>
    <t>GA</t>
  </si>
  <si>
    <t>Andrew Johnson NHS</t>
  </si>
  <si>
    <t>TN</t>
  </si>
  <si>
    <t>Aniakchak NM &amp; PRES</t>
  </si>
  <si>
    <t>Antietam NB</t>
  </si>
  <si>
    <t>National Battlefield</t>
  </si>
  <si>
    <t xml:space="preserve">National Capital </t>
  </si>
  <si>
    <t>MD</t>
  </si>
  <si>
    <t>Apostle Islands NL</t>
  </si>
  <si>
    <t>National Lakeshore</t>
  </si>
  <si>
    <t>WI</t>
  </si>
  <si>
    <t>Appomattox Court House NHP</t>
  </si>
  <si>
    <t>VA</t>
  </si>
  <si>
    <t>Arches NP</t>
  </si>
  <si>
    <t>UT</t>
  </si>
  <si>
    <t>Arkansas Post NMEM</t>
  </si>
  <si>
    <t>National Memorial</t>
  </si>
  <si>
    <t>AR</t>
  </si>
  <si>
    <t>Arlington House The R.E. Lee MEM</t>
  </si>
  <si>
    <t>Assateague Island NS</t>
  </si>
  <si>
    <t>National Seashore</t>
  </si>
  <si>
    <t>Aztec Ruins NM</t>
  </si>
  <si>
    <t>NM</t>
  </si>
  <si>
    <t>Badlands NP</t>
  </si>
  <si>
    <t>SD</t>
  </si>
  <si>
    <t>Bandelier NM</t>
  </si>
  <si>
    <t>Belmont-Paul Women's Equality NM</t>
  </si>
  <si>
    <t>DC</t>
  </si>
  <si>
    <t>Bent's Old Fort NHS</t>
  </si>
  <si>
    <t>Bering Land Bridge NPRES</t>
  </si>
  <si>
    <t>National Preserve</t>
  </si>
  <si>
    <t>Big Bend NP</t>
  </si>
  <si>
    <t>Big Cypress NPRES</t>
  </si>
  <si>
    <t>FL</t>
  </si>
  <si>
    <t>Big Hole NB</t>
  </si>
  <si>
    <t xml:space="preserve">Pacific West </t>
  </si>
  <si>
    <t>MT</t>
  </si>
  <si>
    <t>Big South Fork NRRA</t>
  </si>
  <si>
    <t>National River</t>
  </si>
  <si>
    <t>Big Thicket NPRES</t>
  </si>
  <si>
    <t>Bighorn Canyon NRA</t>
  </si>
  <si>
    <t>Biscayne NP</t>
  </si>
  <si>
    <t>Black Canyon of the Gunnison NP</t>
  </si>
  <si>
    <t>Blue Ridge PKWY</t>
  </si>
  <si>
    <t>National Parkway</t>
  </si>
  <si>
    <t>NC</t>
  </si>
  <si>
    <t>Bluestone NSR</t>
  </si>
  <si>
    <t>WV</t>
  </si>
  <si>
    <t>Booker T. Washington NM</t>
  </si>
  <si>
    <t>Boston African American NHS</t>
  </si>
  <si>
    <t>Boston Harbor Islands NRA</t>
  </si>
  <si>
    <t>Boston NHP</t>
  </si>
  <si>
    <t>Brown v. Board of Education NHP</t>
  </si>
  <si>
    <t>KS</t>
  </si>
  <si>
    <t>Bryce Canyon NP</t>
  </si>
  <si>
    <t>Buck Island Reef NM</t>
  </si>
  <si>
    <t>VI</t>
  </si>
  <si>
    <t>Buffalo NR</t>
  </si>
  <si>
    <t>Cabrillo NM</t>
  </si>
  <si>
    <t>CA</t>
  </si>
  <si>
    <t>Camp Nelson NM</t>
  </si>
  <si>
    <t>Canaveral NS</t>
  </si>
  <si>
    <t>Cane River Creole NHP</t>
  </si>
  <si>
    <t>LA</t>
  </si>
  <si>
    <t>Canyon de Chelly NM</t>
  </si>
  <si>
    <t>AZ</t>
  </si>
  <si>
    <t>Canyonlands NP</t>
  </si>
  <si>
    <t>Cape Cod NS</t>
  </si>
  <si>
    <t>Cape Hatteras NS</t>
  </si>
  <si>
    <t>Cape Krusenstern NM</t>
  </si>
  <si>
    <t>Cape Lookout NS</t>
  </si>
  <si>
    <t>Capitol Reef NP</t>
  </si>
  <si>
    <t>Capulin Volcano NM</t>
  </si>
  <si>
    <t>Carl Sandburg Home NHS</t>
  </si>
  <si>
    <t>Carlsbad Caverns NP</t>
  </si>
  <si>
    <t>Carter G. Woodson Home NHS</t>
  </si>
  <si>
    <t>Casa Grande Ruins NM</t>
  </si>
  <si>
    <t>Castillo de San Marcos NM</t>
  </si>
  <si>
    <t>Castle Clinton NM</t>
  </si>
  <si>
    <t>Catoctin Mountain Park</t>
  </si>
  <si>
    <t>Park (Other)</t>
  </si>
  <si>
    <t>Cedar Breaks NM</t>
  </si>
  <si>
    <t>Cesar E. Chavez NM</t>
  </si>
  <si>
    <t>Chaco Culture NHP</t>
  </si>
  <si>
    <t>Chamizal NMEM</t>
  </si>
  <si>
    <t>Channel Islands NP</t>
  </si>
  <si>
    <t>Charles Pinckney NHS</t>
  </si>
  <si>
    <t>SC</t>
  </si>
  <si>
    <t>Charles Young Buffalo Soldiers NM</t>
  </si>
  <si>
    <t>OH</t>
  </si>
  <si>
    <t>Chattahoochee River NRA</t>
  </si>
  <si>
    <t>Chesapeake &amp; Ohio Canal NHP</t>
  </si>
  <si>
    <t>Chickamauga &amp; Chattanooga NMP</t>
  </si>
  <si>
    <t>National Military Park</t>
  </si>
  <si>
    <t>Chickasaw NRA</t>
  </si>
  <si>
    <t>OK</t>
  </si>
  <si>
    <t>Chiricahua NM</t>
  </si>
  <si>
    <t>Christiansted NHS</t>
  </si>
  <si>
    <t>City of Rocks NRES</t>
  </si>
  <si>
    <t>National Reserve</t>
  </si>
  <si>
    <t>ID</t>
  </si>
  <si>
    <t>Clara Barton NHS</t>
  </si>
  <si>
    <t>Colonial NHP</t>
  </si>
  <si>
    <t>Colorado NM</t>
  </si>
  <si>
    <t>Congaree NP</t>
  </si>
  <si>
    <t>Coronado NMEM</t>
  </si>
  <si>
    <t>Cowpens NB</t>
  </si>
  <si>
    <t>Crater Lake NP</t>
  </si>
  <si>
    <t>OR</t>
  </si>
  <si>
    <t>Craters of the Moon NM &amp; PRES</t>
  </si>
  <si>
    <t>Cumberland Gap NHP</t>
  </si>
  <si>
    <t>Cumberland Island NS</t>
  </si>
  <si>
    <t>Curecanti NRA</t>
  </si>
  <si>
    <t>Cuyahoga Valley NP</t>
  </si>
  <si>
    <t>Dayton Aviation Heritage NHP</t>
  </si>
  <si>
    <t>De Soto NMEM</t>
  </si>
  <si>
    <t>Death Valley NP</t>
  </si>
  <si>
    <t>Delaware Water Gap NRA</t>
  </si>
  <si>
    <t>Denali NP &amp; PRES</t>
  </si>
  <si>
    <t>Devils Postpile NM</t>
  </si>
  <si>
    <t>Devils Tower NM</t>
  </si>
  <si>
    <t>WY</t>
  </si>
  <si>
    <t>Dinosaur NM</t>
  </si>
  <si>
    <t>Dry Tortugas NP</t>
  </si>
  <si>
    <t>Dwight D. Eisenhower MEM</t>
  </si>
  <si>
    <t>Edgar Allan Poe NHS</t>
  </si>
  <si>
    <t>Effigy Mounds NM</t>
  </si>
  <si>
    <t>IA</t>
  </si>
  <si>
    <t>Eisenhower NHS</t>
  </si>
  <si>
    <t>El Malpais NM</t>
  </si>
  <si>
    <t>El Morro NM</t>
  </si>
  <si>
    <t>Eleanor Roosevelt NHS</t>
  </si>
  <si>
    <t>Emmett Till and Mamie Till-Mobley NM</t>
  </si>
  <si>
    <t>MS</t>
  </si>
  <si>
    <t>Eugene O'Neill NHS</t>
  </si>
  <si>
    <t>Everglades NP</t>
  </si>
  <si>
    <t>Federal Hall NMEM</t>
  </si>
  <si>
    <t>Fire Island NS</t>
  </si>
  <si>
    <t>First Ladies NHS</t>
  </si>
  <si>
    <t>First State NHP</t>
  </si>
  <si>
    <t>DE</t>
  </si>
  <si>
    <t>Flight 93 NMEM</t>
  </si>
  <si>
    <t>Florissant Fossil Beds NM</t>
  </si>
  <si>
    <t>Ford's Theatre NHS</t>
  </si>
  <si>
    <t>Fort Bowie NHS</t>
  </si>
  <si>
    <t>Fort Caroline NMEM</t>
  </si>
  <si>
    <t>Fort Davis NHS</t>
  </si>
  <si>
    <t>Fort Donelson NB</t>
  </si>
  <si>
    <t>Fort Frederica NM</t>
  </si>
  <si>
    <t>Fort Laramie NHS</t>
  </si>
  <si>
    <t>Fort Larned NHS</t>
  </si>
  <si>
    <t>Fort Matanzas NM</t>
  </si>
  <si>
    <t>Fort McHenry NM &amp; HS</t>
  </si>
  <si>
    <t>Fort Necessity NB</t>
  </si>
  <si>
    <t>Fort Point NHS</t>
  </si>
  <si>
    <t>Fort Pulaski NM</t>
  </si>
  <si>
    <t>Fort Raleigh NHS</t>
  </si>
  <si>
    <t>Fort Scott NHS</t>
  </si>
  <si>
    <t>Fort Smith NHS</t>
  </si>
  <si>
    <t>Fort Stanwix NM</t>
  </si>
  <si>
    <t>Fort Sumter and Fort Moultrie NHP</t>
  </si>
  <si>
    <t>Fort Union NM</t>
  </si>
  <si>
    <t>Fort Union Trading Post NHS</t>
  </si>
  <si>
    <t>ND</t>
  </si>
  <si>
    <t>Fort Vancouver NHS</t>
  </si>
  <si>
    <t>WA</t>
  </si>
  <si>
    <t>Fort Washington Park</t>
  </si>
  <si>
    <t>Fossil Butte NM</t>
  </si>
  <si>
    <t>Franklin Delano Roosevelt MEM</t>
  </si>
  <si>
    <t>Frederick Douglass NHS</t>
  </si>
  <si>
    <t>Frederick Law Olmsted NHS</t>
  </si>
  <si>
    <t>Fredericksburg &amp; Spotsylvania NMP</t>
  </si>
  <si>
    <t>Friendship Hill NHS</t>
  </si>
  <si>
    <t>Gates of the Arctic NP &amp; PRES</t>
  </si>
  <si>
    <t>Gateway Arch NP</t>
  </si>
  <si>
    <t>MO</t>
  </si>
  <si>
    <t>Gateway NRA</t>
  </si>
  <si>
    <t>Gauley River NRA</t>
  </si>
  <si>
    <t>General Grant NMEM</t>
  </si>
  <si>
    <t>George Rogers Clark NHP</t>
  </si>
  <si>
    <t>IN</t>
  </si>
  <si>
    <t>George Washington Birthplace NM</t>
  </si>
  <si>
    <t>George Washington Carver NM</t>
  </si>
  <si>
    <t>George Washington MEM PKWY</t>
  </si>
  <si>
    <t>Gettysburg NMP</t>
  </si>
  <si>
    <t>Gila Cliff Dwellings NM</t>
  </si>
  <si>
    <t>Glacier Bay NP &amp; PRES</t>
  </si>
  <si>
    <t>Glacier NP</t>
  </si>
  <si>
    <t>Glen Canyon NRA</t>
  </si>
  <si>
    <t>Golden Gate NRA</t>
  </si>
  <si>
    <t>Golden Spike NHP</t>
  </si>
  <si>
    <t>Governors Island NM</t>
  </si>
  <si>
    <t>Grand Canyon NP</t>
  </si>
  <si>
    <t>Grand Portage NM</t>
  </si>
  <si>
    <t>MN</t>
  </si>
  <si>
    <t>Grand Teton NP</t>
  </si>
  <si>
    <t>Grant-Kohrs Ranch NHS</t>
  </si>
  <si>
    <t>Great Basin NP</t>
  </si>
  <si>
    <t>NV</t>
  </si>
  <si>
    <t>Great Sand Dunes NP &amp; PRES</t>
  </si>
  <si>
    <t>Great Smoky Mountains NP</t>
  </si>
  <si>
    <t>Greenbelt Park</t>
  </si>
  <si>
    <t>Guadalupe Mountains NP</t>
  </si>
  <si>
    <t>Guilford Courthouse NMP</t>
  </si>
  <si>
    <t>Gulf Islands NS</t>
  </si>
  <si>
    <t>Hagerman Fossil Beds NM</t>
  </si>
  <si>
    <t>Haleakala NP</t>
  </si>
  <si>
    <t>HI</t>
  </si>
  <si>
    <t>Hamilton Grange NMEM</t>
  </si>
  <si>
    <t>Hampton NHS</t>
  </si>
  <si>
    <t>Harpers Ferry NHP</t>
  </si>
  <si>
    <t>Harriet Tubman Underground Railroad NHP</t>
  </si>
  <si>
    <t>Harry S Truman NHS</t>
  </si>
  <si>
    <t>Hawaii Volcanoes NP</t>
  </si>
  <si>
    <t>Herbert Hoover NHS</t>
  </si>
  <si>
    <t>Home of Franklin D. Roosevelt NHS</t>
  </si>
  <si>
    <t>Homestead NHP</t>
  </si>
  <si>
    <t>Hopewell Culture NHP</t>
  </si>
  <si>
    <t>Hopewell Furnace NHS</t>
  </si>
  <si>
    <t>Horseshoe Bend NMP</t>
  </si>
  <si>
    <t>AL</t>
  </si>
  <si>
    <t>Hot Springs NP</t>
  </si>
  <si>
    <t>Hovenweep NM</t>
  </si>
  <si>
    <t>Hubbell Trading Post NHS</t>
  </si>
  <si>
    <t>Ice Age NST</t>
  </si>
  <si>
    <t>National Scenic Trail</t>
  </si>
  <si>
    <t>Independence NHP</t>
  </si>
  <si>
    <t>Indiana Dunes NP</t>
  </si>
  <si>
    <t>Isle Royale NP</t>
  </si>
  <si>
    <t>MI</t>
  </si>
  <si>
    <t>James A. Garfield NHS</t>
  </si>
  <si>
    <t>Jean Lafitte NHP &amp; PRES</t>
  </si>
  <si>
    <t>Jewel Cave NM</t>
  </si>
  <si>
    <t>Jimmy Carter NHP</t>
  </si>
  <si>
    <t>John D. Rockefeller, Jr. MEM PKWY</t>
  </si>
  <si>
    <t>John Day Fossil Beds NM</t>
  </si>
  <si>
    <t>John F. Kennedy NHS</t>
  </si>
  <si>
    <t>John Muir NHS</t>
  </si>
  <si>
    <t>Johnstown Flood NMEM</t>
  </si>
  <si>
    <t>Joshua Tree NP</t>
  </si>
  <si>
    <t>Kalaupapa NHP</t>
  </si>
  <si>
    <t>Kaloko Honokohau NHP</t>
  </si>
  <si>
    <t>Katahdin Woods and Waters NM</t>
  </si>
  <si>
    <t>Katmai NP &amp; PRES</t>
  </si>
  <si>
    <t>Kenai Fjords NP</t>
  </si>
  <si>
    <t>Kennesaw Mountain NBP</t>
  </si>
  <si>
    <t>National Battlefield Park</t>
  </si>
  <si>
    <t>Keweenaw NHP</t>
  </si>
  <si>
    <t>Kings Canyon NP</t>
  </si>
  <si>
    <t>Kings Mountain NMP</t>
  </si>
  <si>
    <t>Klondike Gold Rush NHP Alaska</t>
  </si>
  <si>
    <t>Klondike Gold Rush NHP Seattle</t>
  </si>
  <si>
    <t>Knife River Indian Villages NHS</t>
  </si>
  <si>
    <t>Kobuk Valley NP</t>
  </si>
  <si>
    <t>Korean War Veterans MEM</t>
  </si>
  <si>
    <t>Lake Chelan NRA</t>
  </si>
  <si>
    <t>Lake Clark NP &amp; PRES</t>
  </si>
  <si>
    <t>Lake Mead NRA</t>
  </si>
  <si>
    <t>Lake Meredith NRA</t>
  </si>
  <si>
    <t>Lake Roosevelt NRA</t>
  </si>
  <si>
    <t>Lassen Volcanic NP</t>
  </si>
  <si>
    <t>Lava Beds NM</t>
  </si>
  <si>
    <t>LBJ Memorial Grove on the Potomac</t>
  </si>
  <si>
    <t>Lewis &amp; Clark NHP</t>
  </si>
  <si>
    <t>Lincoln Boyhood NMEM</t>
  </si>
  <si>
    <t>Lincoln Home NHS</t>
  </si>
  <si>
    <t>IL</t>
  </si>
  <si>
    <t>Lincoln MEM</t>
  </si>
  <si>
    <t>Little Bighorn Battlefield NM</t>
  </si>
  <si>
    <t>Little River Canyon NPRES</t>
  </si>
  <si>
    <t>Little Rock Central High School NHS</t>
  </si>
  <si>
    <t>Longfellow House Washington's HQ NHS</t>
  </si>
  <si>
    <t>Lowell NHP</t>
  </si>
  <si>
    <t>Lyndon B. Johnson NHP</t>
  </si>
  <si>
    <t>Maggie L. Walker NHS</t>
  </si>
  <si>
    <t>Mammoth Cave NP</t>
  </si>
  <si>
    <t>Manassas NBP</t>
  </si>
  <si>
    <t>Manhattan Project NHP</t>
  </si>
  <si>
    <t>Manzanar NHS</t>
  </si>
  <si>
    <t>Marsh-Billings-Rockefeller NHP</t>
  </si>
  <si>
    <t>VT</t>
  </si>
  <si>
    <t>Martin Luther King, Jr. MEM</t>
  </si>
  <si>
    <t>Martin Luther King, Jr. NHP</t>
  </si>
  <si>
    <t>Martin Van Buren NHS</t>
  </si>
  <si>
    <t>Mary McLeod Bethune Council House NHS</t>
  </si>
  <si>
    <t>Medgar and Myrlie Evers Home NM</t>
  </si>
  <si>
    <t>Mesa Verde NP</t>
  </si>
  <si>
    <t>Mill Springs Battlefield NM</t>
  </si>
  <si>
    <t>Minidoka NHS</t>
  </si>
  <si>
    <t>Minute Man NHP</t>
  </si>
  <si>
    <t>Minuteman Missile NHS</t>
  </si>
  <si>
    <t>Mississippi NRRA</t>
  </si>
  <si>
    <t>Missouri NRR</t>
  </si>
  <si>
    <t>Mojave NPRES</t>
  </si>
  <si>
    <t>Monocacy NB</t>
  </si>
  <si>
    <t>Montezuma Castle NM</t>
  </si>
  <si>
    <t>Moores Creek NB</t>
  </si>
  <si>
    <t>Morristown NHP</t>
  </si>
  <si>
    <t>NJ</t>
  </si>
  <si>
    <t>Mount Rainier NP</t>
  </si>
  <si>
    <t>Mount Rushmore NMEM</t>
  </si>
  <si>
    <t>Muir Woods NM</t>
  </si>
  <si>
    <t>Natchez NHP</t>
  </si>
  <si>
    <t>Natchez Trace PKWY</t>
  </si>
  <si>
    <t>National Capital Parks Central</t>
  </si>
  <si>
    <t>National Capital Parks East</t>
  </si>
  <si>
    <t>National Park of American Samoa</t>
  </si>
  <si>
    <t>AS</t>
  </si>
  <si>
    <t>Natural Bridges NM</t>
  </si>
  <si>
    <t>Navajo NM</t>
  </si>
  <si>
    <t>New Bedford Whaling NHP</t>
  </si>
  <si>
    <t>New Orleans Jazz NHP</t>
  </si>
  <si>
    <t>New River Gorge NP &amp; PRES</t>
  </si>
  <si>
    <t>Nez Perce NHP</t>
  </si>
  <si>
    <t>Nicodemus NHS</t>
  </si>
  <si>
    <t>Ninety Six NHS</t>
  </si>
  <si>
    <t>Niobrara NSR</t>
  </si>
  <si>
    <t>Noatak NPRES</t>
  </si>
  <si>
    <t>North Cascades NP</t>
  </si>
  <si>
    <t>Obed W&amp;SR</t>
  </si>
  <si>
    <t>Ocmulgee Mounds NHP</t>
  </si>
  <si>
    <t>Olympic NP</t>
  </si>
  <si>
    <t>Oregon Caves NM &amp; PRES</t>
  </si>
  <si>
    <t>Organ Pipe Cactus NM</t>
  </si>
  <si>
    <t>Ozark NSR</t>
  </si>
  <si>
    <t>Padre Island NS</t>
  </si>
  <si>
    <t>Palo Alto Battlefield NHP</t>
  </si>
  <si>
    <t>Paterson Great Falls NHP</t>
  </si>
  <si>
    <t>Pea Ridge NMP</t>
  </si>
  <si>
    <t>Pearl Harbor NMEM</t>
  </si>
  <si>
    <t>Pecos NHP</t>
  </si>
  <si>
    <t>Pennsylvania Avenue NHS</t>
  </si>
  <si>
    <t>Perry's Victory &amp; Intl. Peace MEM</t>
  </si>
  <si>
    <t>Petersburg NB</t>
  </si>
  <si>
    <t>Petrified Forest NP</t>
  </si>
  <si>
    <t>Petroglyph NM</t>
  </si>
  <si>
    <t>Pictured Rocks NL</t>
  </si>
  <si>
    <t>Pinnacles NP</t>
  </si>
  <si>
    <t>Pipe Spring NM</t>
  </si>
  <si>
    <t>Pipestone NM</t>
  </si>
  <si>
    <t>Piscataway Park</t>
  </si>
  <si>
    <t>Point Reyes NS</t>
  </si>
  <si>
    <t>Port Chicago Naval Magazine NMEM</t>
  </si>
  <si>
    <t>President W.J. Clinton Birthplace Home NHS</t>
  </si>
  <si>
    <t>President's Park</t>
  </si>
  <si>
    <t>Prince William Forest Park</t>
  </si>
  <si>
    <t>Pullman NHP</t>
  </si>
  <si>
    <t>Pu'uhonua o Honaunau NHP</t>
  </si>
  <si>
    <t>Pu'ukohola Heiau NHS</t>
  </si>
  <si>
    <t>Rainbow Bridge NM</t>
  </si>
  <si>
    <t>Reconstruction Era NHP</t>
  </si>
  <si>
    <t>Redwood NP</t>
  </si>
  <si>
    <t>Richmond NBP</t>
  </si>
  <si>
    <t>Rio Grande W&amp;SR</t>
  </si>
  <si>
    <t>River Raisin NBP</t>
  </si>
  <si>
    <t>Rock Creek Park</t>
  </si>
  <si>
    <t>Rocky Mountain NP</t>
  </si>
  <si>
    <t>Roger Williams NMEM</t>
  </si>
  <si>
    <t>RI</t>
  </si>
  <si>
    <t>Rosie The Riveter WWII Home Front NHP</t>
  </si>
  <si>
    <t>Ross Lake NRA</t>
  </si>
  <si>
    <t>Russell Cave NM</t>
  </si>
  <si>
    <t>Sagamore Hill NHS</t>
  </si>
  <si>
    <t>Saguaro NP</t>
  </si>
  <si>
    <t>Saint Croix Island IHS</t>
  </si>
  <si>
    <t>International Historic Site</t>
  </si>
  <si>
    <t>Saint Croix NSR</t>
  </si>
  <si>
    <t>Saint Paul's Church NHS</t>
  </si>
  <si>
    <t>Saint-Gaudens NHP</t>
  </si>
  <si>
    <t>NH</t>
  </si>
  <si>
    <t>Salem Maritime NHS</t>
  </si>
  <si>
    <t>Salinas Pueblo Missions NM</t>
  </si>
  <si>
    <t>Salt River Bay NHP &amp; EPRES</t>
  </si>
  <si>
    <t>San Antonio Missions NHP</t>
  </si>
  <si>
    <t>San Francisco Maritime NHP</t>
  </si>
  <si>
    <t>San Juan Island NHP</t>
  </si>
  <si>
    <t>San Juan NHS</t>
  </si>
  <si>
    <t>PR</t>
  </si>
  <si>
    <t>Sand Creek Massacre NHS</t>
  </si>
  <si>
    <t>Santa Monica Mountains NRA</t>
  </si>
  <si>
    <t>Saratoga NHP</t>
  </si>
  <si>
    <t>Saugus Iron Works NHS</t>
  </si>
  <si>
    <t>Scotts Bluff NM</t>
  </si>
  <si>
    <t>Sequoia NP</t>
  </si>
  <si>
    <t>Shenandoah NP</t>
  </si>
  <si>
    <t>Shiloh NMP</t>
  </si>
  <si>
    <t>Sitka NHP</t>
  </si>
  <si>
    <t>Sleeping Bear Dunes NL</t>
  </si>
  <si>
    <t>Springfield Armory NHS</t>
  </si>
  <si>
    <t>Statue of Liberty NM</t>
  </si>
  <si>
    <t>Ste. Genevieve NHP</t>
  </si>
  <si>
    <t>Steamtown NHS</t>
  </si>
  <si>
    <t>Stones River NB</t>
  </si>
  <si>
    <t>Stonewall NM</t>
  </si>
  <si>
    <t>Sunset Crater Volcano NM</t>
  </si>
  <si>
    <t>Tallgrass Prairie NPRES</t>
  </si>
  <si>
    <t>Thaddeus Kosciuszko NMEM</t>
  </si>
  <si>
    <t>Theodore Roosevelt Birthplace NHS</t>
  </si>
  <si>
    <t>Theodore Roosevelt Inaugural NHS</t>
  </si>
  <si>
    <t>Theodore Roosevelt Island</t>
  </si>
  <si>
    <t>Theodore Roosevelt NP</t>
  </si>
  <si>
    <t>Thomas Edison NHP</t>
  </si>
  <si>
    <t>Thomas Jefferson MEM</t>
  </si>
  <si>
    <t>Thomas Stone NHS</t>
  </si>
  <si>
    <t>Timpanogos Cave NM</t>
  </si>
  <si>
    <t>Timucuan EHP</t>
  </si>
  <si>
    <t>Tonto NM</t>
  </si>
  <si>
    <t>Tule Lake NM</t>
  </si>
  <si>
    <t>Tule Springs Fossil Beds NM</t>
  </si>
  <si>
    <t>Tumacacori NHP</t>
  </si>
  <si>
    <t>Tuskegee Airmen NHS</t>
  </si>
  <si>
    <t>Tuskegee Institute NHS</t>
  </si>
  <si>
    <t>Tuzigoot NM</t>
  </si>
  <si>
    <t>Ulysses S. Grant NHS</t>
  </si>
  <si>
    <t>Upper Delaware S&amp;RR</t>
  </si>
  <si>
    <t>Valles Caldera NPRES</t>
  </si>
  <si>
    <t>Valley Forge NHP</t>
  </si>
  <si>
    <t>Vanderbilt Mansion NHS</t>
  </si>
  <si>
    <t>Vicksburg NMP</t>
  </si>
  <si>
    <t>Vietnam Veterans MEM</t>
  </si>
  <si>
    <t>Virgin Islands NP</t>
  </si>
  <si>
    <t>Voyageurs NP</t>
  </si>
  <si>
    <t>Waco Mammoth NM</t>
  </si>
  <si>
    <t>Walnut Canyon NM</t>
  </si>
  <si>
    <t>War in the Pacific NHP</t>
  </si>
  <si>
    <t>GU</t>
  </si>
  <si>
    <t>Washington Monument</t>
  </si>
  <si>
    <t>Washita Battlefield NHS</t>
  </si>
  <si>
    <t>Weir Farm NHP</t>
  </si>
  <si>
    <t>CT</t>
  </si>
  <si>
    <t>Whiskeytown NRA</t>
  </si>
  <si>
    <t>White House</t>
  </si>
  <si>
    <t>White Sands NP</t>
  </si>
  <si>
    <t>Whitman Mission NHS</t>
  </si>
  <si>
    <t>William Howard Taft NHS</t>
  </si>
  <si>
    <t>Wilson's Creek NB</t>
  </si>
  <si>
    <t>Wind Cave NP</t>
  </si>
  <si>
    <t>Wolf Trap NP for the Performing Arts</t>
  </si>
  <si>
    <t>Women's Rights NHP</t>
  </si>
  <si>
    <t>World War I MEM</t>
  </si>
  <si>
    <t>World War II MEM</t>
  </si>
  <si>
    <t>Wrangell-St. Elias NP &amp; PRES</t>
  </si>
  <si>
    <t>Wright Brothers NMEM</t>
  </si>
  <si>
    <t>Wupatki NM</t>
  </si>
  <si>
    <t>Yellowstone NP</t>
  </si>
  <si>
    <t>Yosemite NP</t>
  </si>
  <si>
    <t>Yukon-Charley Rivers NPRES</t>
  </si>
  <si>
    <t>Zion NP</t>
  </si>
  <si>
    <r>
      <rPr>
        <b/>
        <sz val="26"/>
        <color theme="0"/>
        <rFont val="Calibri"/>
        <family val="2"/>
        <scheme val="minor"/>
      </rPr>
      <t>LiveLab |</t>
    </r>
    <r>
      <rPr>
        <sz val="26"/>
        <color theme="0"/>
        <rFont val="Calibri"/>
        <family val="2"/>
        <scheme val="minor"/>
      </rPr>
      <t xml:space="preserve"> National Park Service</t>
    </r>
  </si>
  <si>
    <t>The National Park Service needs the help of data analysts (that's you!) to create inforgraphics for a new promotional campaign. Their focus is on the sites found in the majestic state of Washington state.</t>
  </si>
  <si>
    <t>1)</t>
  </si>
  <si>
    <t>How popular are National Park Service sites across the country?</t>
  </si>
  <si>
    <t>2)</t>
  </si>
  <si>
    <t>Which sites in Washington state attract the most visitors?</t>
  </si>
  <si>
    <t>3)</t>
  </si>
  <si>
    <t>How do visitors experience Washington’s sites?</t>
  </si>
  <si>
    <t>4)</t>
  </si>
  <si>
    <t>Are Washington’s National Parks more popular compared to National Parks across the country?</t>
  </si>
  <si>
    <t>Task 1: Sites Across the Country</t>
  </si>
  <si>
    <t>We’ll start by exploring all sites overseen by the National Park Service across the country so we understand the big picture. Then we’ll zoom in on Washington state, the star of our campaign!</t>
  </si>
  <si>
    <t>(a)</t>
  </si>
  <si>
    <t>How many sites are there in the entire dataset?</t>
  </si>
  <si>
    <t>(b)</t>
  </si>
  <si>
    <t>How many total Recreation Visits did all sites receive in 2024?</t>
  </si>
  <si>
    <t>(c)</t>
  </si>
  <si>
    <t>What is the average number of visitors per site in 2024?</t>
  </si>
  <si>
    <t>Task 2: Popular Sites in Washington State</t>
  </si>
  <si>
    <t>Now let’s focus on the sites located in Washington state. Filter the table to show only Washington sites, and then sort the Recreation Visits column from largest to smallest.</t>
  </si>
  <si>
    <r>
      <t>What are the</t>
    </r>
    <r>
      <rPr>
        <b/>
        <sz val="12"/>
        <color theme="1"/>
        <rFont val="Calibri"/>
        <family val="2"/>
        <scheme val="minor"/>
      </rPr>
      <t xml:space="preserve"> top three</t>
    </r>
    <r>
      <rPr>
        <sz val="12"/>
        <color theme="1"/>
        <rFont val="Calibri"/>
        <family val="2"/>
        <scheme val="minor"/>
      </rPr>
      <t xml:space="preserve"> most popular sites in Washington state (by Recreation Visits)?</t>
    </r>
  </si>
  <si>
    <t>Olympic NP, Mount Rainier NP, Lake Roosevelt NRA</t>
  </si>
  <si>
    <t>Task 3: Counting Sites in Washington State</t>
  </si>
  <si>
    <t>How many sites are located in Washington (WA) state? Use COUNTIF to find your answer.</t>
  </si>
  <si>
    <t>What happens when you use COUNTA here? Does it give you the result you expected? What is causing this result?</t>
  </si>
  <si>
    <t>When you use COUNTA, you can't set a conditional, so it counts all the rows in the table. So, you get 398 instead of 10. Filtering for WA doesn't get rid of the other rows, it just hides them from us.</t>
  </si>
  <si>
    <t>Clear your filter, then determine how many total Recreation Visits sites in Washington state received in 2024.</t>
  </si>
  <si>
    <t>Task 4: Overnight Campers</t>
  </si>
  <si>
    <t>Find the total number of Tent Campers in Washington state.</t>
  </si>
  <si>
    <t>Find the total number of RV Campers in Washington state.</t>
  </si>
  <si>
    <t>Find the total number of Backcountry Campers in Washington state.</t>
  </si>
  <si>
    <t>(d)</t>
  </si>
  <si>
    <t>What percentage of visitors in Washington state spent the night camping (in tents, RVs, or backcountry)?</t>
  </si>
  <si>
    <t>LevelUp: Types of Sites</t>
  </si>
  <si>
    <t>Not every site managed by the National Park Service is officially called a “National Park.” Some are National Recreation Areas, National Monuments, or National Historic Sites. For this LevelUp, you’ll compare National Parks across the entire country and within Washington state to see how Washington compares to the national average.</t>
  </si>
  <si>
    <t>How many National Parks exist across the United States?</t>
  </si>
  <si>
    <t>On average, how many visitors did National Parks receive nationwide in 2024?</t>
  </si>
  <si>
    <t>How many National Parks are located in Washington state?</t>
  </si>
  <si>
    <t>On average, how many visitors did Washington’s National Parks receive in 2024?</t>
  </si>
  <si>
    <t>(e)</t>
  </si>
  <si>
    <t>Do National Parks in Washington state receive more or fewer visitors than the average National Park in the United States?</t>
  </si>
  <si>
    <t>National Parks in Washington state receive more visitors than the average National Park in the United States. The average across the US is 1,496,628 while the average across WA is 1,784,586.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</si>
</sst>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10409]#,##0"/>
  </numFmts>
  <fonts count="14" x14ac:knownFonts="1">
    <font>
      <sz val="12"/>
      <color theme="1"/>
      <name val="Calibri"/>
      <family val="2"/>
      <scheme val="minor"/>
    </font>
    <font>
      <sz val="11"/>
      <color theme="1"/>
      <name val="Calibri"/>
      <family val="2"/>
      <scheme val="minor"/>
    </font>
    <font>
      <sz val="12"/>
      <color theme="1"/>
      <name val="Calibri"/>
      <family val="2"/>
      <scheme val="minor"/>
    </font>
    <font>
      <b/>
      <sz val="26"/>
      <color rgb="FFFFFFFF"/>
      <name val="Calibri"/>
      <family val="2"/>
      <scheme val="minor"/>
    </font>
    <font>
      <b/>
      <sz val="18"/>
      <color rgb="FF000000"/>
      <name val="Calibri"/>
      <family val="2"/>
      <scheme val="minor"/>
    </font>
    <font>
      <b/>
      <sz val="14"/>
      <color rgb="FF000000"/>
      <name val="Calibri"/>
      <family val="2"/>
      <scheme val="minor"/>
    </font>
    <font>
      <sz val="14"/>
      <color theme="1"/>
      <name val="Calibri"/>
      <family val="2"/>
      <scheme val="minor"/>
    </font>
    <font>
      <sz val="14"/>
      <color rgb="FF000000"/>
      <name val="Calibri"/>
      <family val="2"/>
      <scheme val="minor"/>
    </font>
    <font>
      <b/>
      <sz val="12"/>
      <color theme="0"/>
      <name val="Calibri"/>
      <family val="2"/>
      <scheme val="minor"/>
    </font>
    <font>
      <sz val="12"/>
      <color rgb="FF000000"/>
      <name val="Calibri"/>
      <family val="2"/>
      <scheme val="minor"/>
    </font>
    <font>
      <sz val="26"/>
      <color theme="0"/>
      <name val="Calibri"/>
      <family val="2"/>
      <scheme val="minor"/>
    </font>
    <font>
      <b/>
      <sz val="26"/>
      <color theme="0"/>
      <name val="Calibri"/>
      <family val="2"/>
      <scheme val="minor"/>
    </font>
    <font>
      <b/>
      <sz val="14"/>
      <color theme="0"/>
      <name val="Calibri"/>
      <family val="2"/>
      <scheme val="minor"/>
    </font>
    <font>
      <b/>
      <sz val="12"/>
      <color theme="1"/>
      <name val="Calibri"/>
      <family val="2"/>
      <scheme val="minor"/>
    </font>
  </fonts>
  <fills count="12">
    <fill>
      <patternFill patternType="none"/>
    </fill>
    <fill>
      <patternFill patternType="gray125"/>
    </fill>
    <fill>
      <patternFill patternType="solid">
        <fgColor theme="6" tint="0.79998168889431442"/>
        <bgColor indexed="65"/>
      </patternFill>
    </fill>
    <fill>
      <patternFill patternType="solid">
        <fgColor theme="8" tint="0.79998168889431442"/>
        <bgColor indexed="65"/>
      </patternFill>
    </fill>
    <fill>
      <patternFill patternType="solid">
        <fgColor rgb="FF72D1ED"/>
        <bgColor rgb="FF000000"/>
      </patternFill>
    </fill>
    <fill>
      <patternFill patternType="solid">
        <fgColor rgb="FFDDEBF8"/>
        <bgColor rgb="FF000000"/>
      </patternFill>
    </fill>
    <fill>
      <patternFill patternType="solid">
        <fgColor theme="0" tint="-0.14999847407452621"/>
        <bgColor indexed="64"/>
      </patternFill>
    </fill>
    <fill>
      <patternFill patternType="solid">
        <fgColor theme="0"/>
        <bgColor indexed="64"/>
      </patternFill>
    </fill>
    <fill>
      <patternFill patternType="solid">
        <fgColor rgb="FF72D1ED"/>
        <bgColor indexed="64"/>
      </patternFill>
    </fill>
    <fill>
      <patternFill patternType="solid">
        <fgColor rgb="FFDDEBF8"/>
        <bgColor indexed="64"/>
      </patternFill>
    </fill>
    <fill>
      <patternFill patternType="solid">
        <fgColor theme="2"/>
        <bgColor indexed="64"/>
      </patternFill>
    </fill>
    <fill>
      <patternFill patternType="solid">
        <fgColor rgb="FFCC99FF"/>
        <bgColor indexed="64"/>
      </patternFill>
    </fill>
  </fills>
  <borders count="35">
    <border>
      <left/>
      <right/>
      <top/>
      <bottom/>
      <diagonal/>
    </border>
    <border>
      <left style="medium">
        <color rgb="FFFFFFFF"/>
      </left>
      <right/>
      <top/>
      <bottom/>
      <diagonal/>
    </border>
    <border>
      <left style="thin">
        <color indexed="64"/>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bottom style="thin">
        <color theme="1"/>
      </bottom>
      <diagonal/>
    </border>
    <border>
      <left style="medium">
        <color theme="1"/>
      </left>
      <right style="medium">
        <color theme="1"/>
      </right>
      <top/>
      <bottom style="thin">
        <color theme="1"/>
      </bottom>
      <diagonal/>
    </border>
    <border>
      <left style="medium">
        <color theme="1"/>
      </left>
      <right style="thin">
        <color theme="1"/>
      </right>
      <top/>
      <bottom style="thin">
        <color theme="1"/>
      </bottom>
      <diagonal/>
    </border>
    <border>
      <left style="thin">
        <color theme="1"/>
      </left>
      <right style="medium">
        <color theme="1"/>
      </right>
      <top/>
      <bottom/>
      <diagonal/>
    </border>
    <border>
      <left style="medium">
        <color theme="1"/>
      </left>
      <right style="medium">
        <color theme="1"/>
      </right>
      <top/>
      <bottom/>
      <diagonal/>
    </border>
    <border>
      <left style="medium">
        <color theme="1"/>
      </left>
      <right style="thin">
        <color theme="1"/>
      </right>
      <top/>
      <bottom/>
      <diagonal/>
    </border>
    <border>
      <left/>
      <right style="thin">
        <color rgb="FFD3D3D3"/>
      </right>
      <top/>
      <bottom style="thin">
        <color rgb="FFD3D3D3"/>
      </bottom>
      <diagonal/>
    </border>
    <border>
      <left style="thin">
        <color rgb="FFD3D3D3"/>
      </left>
      <right style="thin">
        <color rgb="FFD3D3D3"/>
      </right>
      <top/>
      <bottom style="thin">
        <color rgb="FFD3D3D3"/>
      </bottom>
      <diagonal/>
    </border>
    <border>
      <left style="thin">
        <color rgb="FFD3D3D3"/>
      </left>
      <right/>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style="thin">
        <color rgb="FFD3D3D3"/>
      </right>
      <top style="thin">
        <color rgb="FFD3D3D3"/>
      </top>
      <bottom/>
      <diagonal/>
    </border>
    <border>
      <left style="thin">
        <color rgb="FFD3D3D3"/>
      </left>
      <right style="thin">
        <color rgb="FFD3D3D3"/>
      </right>
      <top style="thin">
        <color rgb="FFD3D3D3"/>
      </top>
      <bottom/>
      <diagonal/>
    </border>
    <border>
      <left style="thin">
        <color rgb="FFD3D3D3"/>
      </left>
      <right/>
      <top style="thin">
        <color rgb="FFD3D3D3"/>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cellStyleXfs>
  <cellXfs count="94">
    <xf numFmtId="0" fontId="0" fillId="0" borderId="0" xfId="0"/>
    <xf numFmtId="0" fontId="3" fillId="4" borderId="1" xfId="0" applyFont="1" applyFill="1" applyBorder="1" applyAlignment="1">
      <alignment horizontal="center" vertical="center"/>
    </xf>
    <xf numFmtId="0" fontId="3" fillId="4" borderId="0" xfId="0" applyFont="1" applyFill="1" applyAlignment="1">
      <alignment horizontal="center" vertical="center"/>
    </xf>
    <xf numFmtId="0" fontId="4" fillId="0" borderId="0" xfId="0" applyFont="1" applyAlignment="1">
      <alignment horizontal="left" vertical="center"/>
    </xf>
    <xf numFmtId="0" fontId="5" fillId="5" borderId="2" xfId="0" applyFont="1" applyFill="1" applyBorder="1" applyAlignment="1">
      <alignment horizontal="center"/>
    </xf>
    <xf numFmtId="0" fontId="5" fillId="5" borderId="3" xfId="0" applyFont="1" applyFill="1" applyBorder="1" applyAlignment="1">
      <alignment horizontal="left"/>
    </xf>
    <xf numFmtId="0" fontId="5" fillId="5" borderId="4" xfId="0" applyFont="1" applyFill="1" applyBorder="1" applyAlignment="1">
      <alignment horizontal="left"/>
    </xf>
    <xf numFmtId="0" fontId="5" fillId="5" borderId="5" xfId="0" applyFont="1" applyFill="1" applyBorder="1" applyAlignment="1">
      <alignment horizontal="left"/>
    </xf>
    <xf numFmtId="0" fontId="6" fillId="6" borderId="2" xfId="3" applyFont="1" applyFill="1" applyBorder="1"/>
    <xf numFmtId="0" fontId="6" fillId="6" borderId="6" xfId="3" applyFont="1" applyFill="1" applyBorder="1" applyAlignment="1">
      <alignment horizontal="left" wrapText="1"/>
    </xf>
    <xf numFmtId="0" fontId="6" fillId="6" borderId="7" xfId="3" applyFont="1" applyFill="1" applyBorder="1" applyAlignment="1">
      <alignment horizontal="left" wrapText="1"/>
    </xf>
    <xf numFmtId="0" fontId="6" fillId="6" borderId="8" xfId="3" applyFont="1" applyFill="1" applyBorder="1" applyAlignment="1">
      <alignment horizontal="left" wrapText="1"/>
    </xf>
    <xf numFmtId="0" fontId="6" fillId="7" borderId="2" xfId="3" applyFont="1" applyFill="1" applyBorder="1"/>
    <xf numFmtId="0" fontId="6" fillId="7" borderId="6" xfId="3" applyFont="1" applyFill="1" applyBorder="1" applyAlignment="1">
      <alignment horizontal="left" vertical="top" wrapText="1"/>
    </xf>
    <xf numFmtId="0" fontId="6" fillId="7" borderId="7" xfId="3" applyFont="1" applyFill="1" applyBorder="1" applyAlignment="1">
      <alignment horizontal="left" vertical="top" wrapText="1"/>
    </xf>
    <xf numFmtId="0" fontId="6" fillId="7" borderId="8" xfId="3" applyFont="1" applyFill="1" applyBorder="1" applyAlignment="1">
      <alignment horizontal="left" vertical="top" wrapText="1"/>
    </xf>
    <xf numFmtId="0" fontId="6" fillId="6" borderId="2" xfId="0" applyFont="1" applyFill="1" applyBorder="1"/>
    <xf numFmtId="0" fontId="7" fillId="6" borderId="9" xfId="0" applyFont="1" applyFill="1" applyBorder="1" applyAlignment="1">
      <alignment horizontal="left"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6" fillId="7" borderId="9" xfId="3" applyFont="1" applyFill="1" applyBorder="1" applyAlignment="1">
      <alignment horizontal="left" wrapText="1"/>
    </xf>
    <xf numFmtId="0" fontId="6" fillId="7" borderId="10" xfId="3" applyFont="1" applyFill="1" applyBorder="1" applyAlignment="1">
      <alignment horizontal="left" wrapText="1"/>
    </xf>
    <xf numFmtId="0" fontId="6" fillId="7" borderId="11" xfId="3" applyFont="1" applyFill="1" applyBorder="1" applyAlignment="1">
      <alignment horizontal="left" wrapText="1"/>
    </xf>
    <xf numFmtId="0" fontId="7" fillId="6" borderId="12" xfId="0" applyFont="1" applyFill="1" applyBorder="1" applyAlignment="1">
      <alignment horizontal="left" wrapText="1"/>
    </xf>
    <xf numFmtId="0" fontId="7" fillId="6" borderId="13" xfId="0" applyFont="1" applyFill="1" applyBorder="1" applyAlignment="1">
      <alignment horizontal="left" wrapText="1"/>
    </xf>
    <xf numFmtId="0" fontId="7" fillId="6" borderId="14" xfId="0" applyFont="1" applyFill="1" applyBorder="1" applyAlignment="1">
      <alignment horizontal="left" wrapText="1"/>
    </xf>
    <xf numFmtId="0" fontId="6" fillId="7" borderId="2" xfId="0" applyFont="1" applyFill="1" applyBorder="1"/>
    <xf numFmtId="0" fontId="6" fillId="7" borderId="6" xfId="0" applyFont="1" applyFill="1" applyBorder="1" applyAlignment="1">
      <alignment horizontal="left"/>
    </xf>
    <xf numFmtId="0" fontId="6" fillId="7" borderId="7" xfId="0" applyFont="1" applyFill="1" applyBorder="1" applyAlignment="1">
      <alignment horizontal="left"/>
    </xf>
    <xf numFmtId="0" fontId="6" fillId="7" borderId="8" xfId="0" applyFont="1" applyFill="1" applyBorder="1" applyAlignment="1">
      <alignment horizontal="left"/>
    </xf>
    <xf numFmtId="0" fontId="6" fillId="6" borderId="12" xfId="3" applyFont="1" applyFill="1" applyBorder="1" applyAlignment="1">
      <alignment horizontal="left"/>
    </xf>
    <xf numFmtId="0" fontId="6" fillId="6" borderId="13" xfId="3" applyFont="1" applyFill="1" applyBorder="1" applyAlignment="1">
      <alignment horizontal="left"/>
    </xf>
    <xf numFmtId="0" fontId="6" fillId="6" borderId="14" xfId="3" applyFont="1" applyFill="1" applyBorder="1" applyAlignment="1">
      <alignment horizontal="left"/>
    </xf>
    <xf numFmtId="0" fontId="8" fillId="0" borderId="15" xfId="0" applyFont="1" applyBorder="1" applyAlignment="1">
      <alignment horizontal="left" wrapText="1" readingOrder="1"/>
    </xf>
    <xf numFmtId="0" fontId="8" fillId="0" borderId="16" xfId="0" applyFont="1" applyBorder="1" applyAlignment="1">
      <alignment horizontal="left" wrapText="1" readingOrder="1"/>
    </xf>
    <xf numFmtId="0" fontId="8" fillId="0" borderId="17" xfId="0" applyFont="1" applyBorder="1" applyAlignment="1">
      <alignment horizontal="left" wrapText="1" readingOrder="1"/>
    </xf>
    <xf numFmtId="0" fontId="9" fillId="0" borderId="18" xfId="0" applyFont="1" applyBorder="1" applyAlignment="1">
      <alignment horizontal="left" wrapText="1" readingOrder="1"/>
    </xf>
    <xf numFmtId="0" fontId="9" fillId="0" borderId="19" xfId="0" applyFont="1" applyBorder="1" applyAlignment="1">
      <alignment horizontal="left" wrapText="1" readingOrder="1"/>
    </xf>
    <xf numFmtId="164" fontId="9" fillId="0" borderId="19" xfId="0" applyNumberFormat="1" applyFont="1" applyBorder="1" applyAlignment="1">
      <alignment wrapText="1" readingOrder="1"/>
    </xf>
    <xf numFmtId="164" fontId="9" fillId="0" borderId="20" xfId="0" applyNumberFormat="1" applyFont="1" applyBorder="1" applyAlignment="1">
      <alignment wrapText="1" readingOrder="1"/>
    </xf>
    <xf numFmtId="0" fontId="9" fillId="0" borderId="21" xfId="0" applyFont="1" applyBorder="1" applyAlignment="1">
      <alignment horizontal="left" wrapText="1" readingOrder="1"/>
    </xf>
    <xf numFmtId="0" fontId="9" fillId="0" borderId="22" xfId="0" applyFont="1" applyBorder="1" applyAlignment="1">
      <alignment horizontal="left" wrapText="1" readingOrder="1"/>
    </xf>
    <xf numFmtId="164" fontId="9" fillId="0" borderId="22" xfId="0" applyNumberFormat="1" applyFont="1" applyBorder="1" applyAlignment="1">
      <alignment wrapText="1" readingOrder="1"/>
    </xf>
    <xf numFmtId="164" fontId="9" fillId="0" borderId="23" xfId="0" applyNumberFormat="1" applyFont="1" applyBorder="1" applyAlignment="1">
      <alignment wrapText="1" readingOrder="1"/>
    </xf>
    <xf numFmtId="0" fontId="10" fillId="8" borderId="24" xfId="0" applyFont="1" applyFill="1" applyBorder="1" applyAlignment="1">
      <alignment horizontal="center" vertical="center"/>
    </xf>
    <xf numFmtId="0" fontId="0" fillId="9" borderId="24" xfId="0" applyFill="1" applyBorder="1" applyAlignment="1">
      <alignment horizontal="center" vertical="center" wrapText="1"/>
    </xf>
    <xf numFmtId="0" fontId="0" fillId="9" borderId="24" xfId="0" applyFill="1" applyBorder="1"/>
    <xf numFmtId="0" fontId="0" fillId="9" borderId="24" xfId="0" applyFill="1" applyBorder="1"/>
    <xf numFmtId="0" fontId="12" fillId="8" borderId="24" xfId="0" applyFont="1" applyFill="1" applyBorder="1" applyAlignment="1">
      <alignment horizontal="center"/>
    </xf>
    <xf numFmtId="0" fontId="0" fillId="3" borderId="25" xfId="4" applyFont="1" applyBorder="1" applyAlignment="1">
      <alignment horizontal="center" vertical="center" wrapText="1"/>
    </xf>
    <xf numFmtId="0" fontId="0" fillId="3" borderId="26" xfId="4" applyFont="1" applyBorder="1" applyAlignment="1">
      <alignment horizontal="center" vertical="center" wrapText="1"/>
    </xf>
    <xf numFmtId="0" fontId="0" fillId="3" borderId="27" xfId="4" applyFont="1" applyBorder="1" applyAlignment="1">
      <alignment horizontal="center" vertical="center" wrapText="1"/>
    </xf>
    <xf numFmtId="0" fontId="0" fillId="3" borderId="28" xfId="4" applyFont="1" applyBorder="1" applyAlignment="1">
      <alignment horizontal="center" vertical="center" wrapText="1"/>
    </xf>
    <xf numFmtId="0" fontId="0" fillId="3" borderId="29" xfId="4" applyFont="1" applyBorder="1" applyAlignment="1">
      <alignment horizontal="center" vertical="center" wrapText="1"/>
    </xf>
    <xf numFmtId="0" fontId="0" fillId="3" borderId="30" xfId="4" applyFont="1" applyBorder="1" applyAlignment="1">
      <alignment horizontal="center" vertical="center" wrapText="1"/>
    </xf>
    <xf numFmtId="0" fontId="0" fillId="9" borderId="24" xfId="0" applyFill="1" applyBorder="1" applyAlignment="1">
      <alignment vertical="center" wrapText="1"/>
    </xf>
    <xf numFmtId="0" fontId="0" fillId="9" borderId="25" xfId="0" applyFill="1" applyBorder="1" applyAlignment="1">
      <alignment horizontal="left" vertical="center" wrapText="1"/>
    </xf>
    <xf numFmtId="0" fontId="0" fillId="9" borderId="26" xfId="0" applyFill="1" applyBorder="1" applyAlignment="1">
      <alignment horizontal="left" vertical="center" wrapText="1"/>
    </xf>
    <xf numFmtId="0" fontId="0" fillId="9" borderId="0" xfId="0" applyFill="1" applyBorder="1" applyAlignment="1">
      <alignment horizontal="left" vertical="center" wrapText="1"/>
    </xf>
    <xf numFmtId="0" fontId="0" fillId="9" borderId="32" xfId="0" applyFill="1" applyBorder="1" applyAlignment="1">
      <alignment horizontal="left" vertical="center" wrapText="1"/>
    </xf>
    <xf numFmtId="0" fontId="0" fillId="9" borderId="33" xfId="0" applyFill="1" applyBorder="1" applyAlignment="1">
      <alignment horizontal="left" vertical="center" wrapText="1"/>
    </xf>
    <xf numFmtId="0" fontId="12" fillId="8" borderId="32" xfId="0" applyFont="1" applyFill="1" applyBorder="1" applyAlignment="1">
      <alignment horizontal="center"/>
    </xf>
    <xf numFmtId="0" fontId="12" fillId="8" borderId="33" xfId="0" applyFont="1" applyFill="1" applyBorder="1" applyAlignment="1">
      <alignment horizontal="center"/>
    </xf>
    <xf numFmtId="0" fontId="0" fillId="0" borderId="28" xfId="0" applyFill="1" applyBorder="1" applyAlignment="1">
      <alignment vertical="center" wrapText="1"/>
    </xf>
    <xf numFmtId="0" fontId="0" fillId="0" borderId="29" xfId="0" applyFill="1" applyBorder="1" applyAlignment="1">
      <alignment vertical="center" wrapText="1"/>
    </xf>
    <xf numFmtId="1" fontId="1" fillId="10" borderId="24" xfId="2" applyNumberFormat="1" applyFill="1" applyBorder="1" applyAlignment="1">
      <alignment vertical="center" wrapText="1"/>
    </xf>
    <xf numFmtId="3" fontId="1" fillId="10" borderId="24" xfId="2" applyNumberFormat="1" applyFill="1" applyBorder="1" applyAlignment="1">
      <alignment vertical="center" wrapText="1"/>
    </xf>
    <xf numFmtId="0" fontId="0" fillId="8" borderId="24" xfId="0" applyFill="1" applyBorder="1" applyAlignment="1">
      <alignment horizontal="right" vertical="center"/>
    </xf>
    <xf numFmtId="0" fontId="0" fillId="8" borderId="24" xfId="0" applyFill="1" applyBorder="1" applyAlignment="1">
      <alignment horizontal="center" vertical="center"/>
    </xf>
    <xf numFmtId="0" fontId="0" fillId="10" borderId="25"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31" xfId="0" applyFill="1" applyBorder="1" applyAlignment="1">
      <alignment horizontal="center" vertical="center" wrapText="1"/>
    </xf>
    <xf numFmtId="0" fontId="0" fillId="10" borderId="0" xfId="0" applyFill="1" applyBorder="1" applyAlignment="1">
      <alignment horizontal="center" vertical="center" wrapText="1"/>
    </xf>
    <xf numFmtId="0" fontId="0" fillId="10" borderId="0" xfId="0" applyFill="1" applyAlignment="1">
      <alignment horizontal="center" vertical="center" wrapText="1"/>
    </xf>
    <xf numFmtId="0" fontId="0" fillId="10" borderId="28" xfId="0" applyFill="1" applyBorder="1" applyAlignment="1">
      <alignment horizontal="center" vertical="center" wrapText="1"/>
    </xf>
    <xf numFmtId="0" fontId="0" fillId="10" borderId="29" xfId="0" applyFill="1" applyBorder="1" applyAlignment="1">
      <alignment horizontal="center" vertical="center" wrapText="1"/>
    </xf>
    <xf numFmtId="0" fontId="0" fillId="8" borderId="26" xfId="0" applyFill="1" applyBorder="1" applyAlignment="1">
      <alignment horizontal="center" vertical="center"/>
    </xf>
    <xf numFmtId="0" fontId="0" fillId="8" borderId="0" xfId="0" applyFill="1" applyBorder="1" applyAlignment="1">
      <alignment horizontal="center" vertical="center"/>
    </xf>
    <xf numFmtId="1" fontId="1" fillId="10" borderId="26" xfId="2" applyNumberFormat="1" applyFill="1" applyBorder="1" applyAlignment="1">
      <alignment vertical="center" wrapText="1"/>
    </xf>
    <xf numFmtId="1" fontId="1" fillId="10" borderId="0" xfId="2" applyNumberFormat="1" applyFill="1" applyBorder="1" applyAlignment="1">
      <alignment vertical="center" wrapText="1"/>
    </xf>
    <xf numFmtId="0" fontId="0" fillId="9" borderId="27" xfId="0" applyFill="1" applyBorder="1" applyAlignment="1">
      <alignment horizontal="left" vertical="center" wrapText="1"/>
    </xf>
    <xf numFmtId="0" fontId="0" fillId="9" borderId="34" xfId="0" applyFill="1" applyBorder="1" applyAlignment="1">
      <alignment horizontal="left" vertical="center" wrapText="1"/>
    </xf>
    <xf numFmtId="0" fontId="0" fillId="8" borderId="27" xfId="0" applyFill="1" applyBorder="1" applyAlignment="1">
      <alignment horizontal="center" vertical="center"/>
    </xf>
    <xf numFmtId="0" fontId="0" fillId="8" borderId="34" xfId="0" applyFill="1" applyBorder="1" applyAlignment="1">
      <alignment horizontal="center" vertical="center"/>
    </xf>
    <xf numFmtId="10" fontId="1" fillId="10" borderId="26" xfId="2" applyNumberFormat="1" applyFill="1" applyBorder="1" applyAlignment="1">
      <alignment horizontal="right" vertical="center" wrapText="1"/>
    </xf>
    <xf numFmtId="10" fontId="1" fillId="10" borderId="0" xfId="2" applyNumberFormat="1" applyFill="1" applyBorder="1" applyAlignment="1">
      <alignment horizontal="right" vertical="center" wrapText="1"/>
    </xf>
    <xf numFmtId="0" fontId="12" fillId="11" borderId="24" xfId="0" applyFont="1" applyFill="1" applyBorder="1" applyAlignment="1">
      <alignment horizontal="center"/>
    </xf>
    <xf numFmtId="0" fontId="1" fillId="3" borderId="25" xfId="4" applyBorder="1" applyAlignment="1">
      <alignment horizontal="center" vertical="center" wrapText="1"/>
    </xf>
    <xf numFmtId="0" fontId="1" fillId="3" borderId="26" xfId="4" applyBorder="1" applyAlignment="1">
      <alignment horizontal="center" vertical="center" wrapText="1"/>
    </xf>
    <xf numFmtId="0" fontId="1" fillId="3" borderId="31" xfId="4" applyBorder="1" applyAlignment="1">
      <alignment horizontal="center" vertical="center" wrapText="1"/>
    </xf>
    <xf numFmtId="0" fontId="1" fillId="3" borderId="0" xfId="4" applyBorder="1" applyAlignment="1">
      <alignment horizontal="center" vertical="center" wrapText="1"/>
    </xf>
    <xf numFmtId="0" fontId="1" fillId="3" borderId="28" xfId="4" applyBorder="1" applyAlignment="1">
      <alignment horizontal="center" vertical="center" wrapText="1"/>
    </xf>
    <xf numFmtId="0" fontId="1" fillId="3" borderId="29" xfId="4" applyBorder="1" applyAlignment="1">
      <alignment horizontal="center" vertical="center" wrapText="1"/>
    </xf>
    <xf numFmtId="37" fontId="1" fillId="10" borderId="24" xfId="1" applyNumberFormat="1" applyFill="1" applyBorder="1" applyAlignment="1">
      <alignment vertical="center" wrapText="1"/>
    </xf>
  </cellXfs>
  <cellStyles count="5">
    <cellStyle name="20% - Accent3" xfId="3" builtinId="38"/>
    <cellStyle name="20% - Accent5" xfId="4" builtinId="46"/>
    <cellStyle name="Comma" xfId="1" builtinId="3"/>
    <cellStyle name="Normal" xfId="0" builtinId="0"/>
    <cellStyle name="Percent" xfId="2" builtinId="5"/>
  </cellStyles>
  <dxfs count="13">
    <dxf>
      <font>
        <b val="0"/>
        <i val="0"/>
        <strike val="0"/>
        <condense val="0"/>
        <extend val="0"/>
        <outline val="0"/>
        <shadow val="0"/>
        <u val="none"/>
        <vertAlign val="baseline"/>
        <sz val="12"/>
        <color rgb="FF000000"/>
        <name val="Calibri"/>
        <family val="2"/>
        <scheme val="minor"/>
      </font>
      <numFmt numFmtId="164" formatCode="[$-10409]#,##0"/>
      <alignment horizontal="general" vertical="bottom" textRotation="0" wrapText="1" indent="0" justifyLastLine="0" shrinkToFit="0" readingOrder="1"/>
      <border diagonalUp="0" diagonalDown="0" outline="0">
        <left style="thin">
          <color rgb="FFD3D3D3"/>
        </left>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numFmt numFmtId="164" formatCode="[$-10409]#,##0"/>
      <alignment horizontal="general" vertical="bottom"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numFmt numFmtId="164" formatCode="[$-10409]#,##0"/>
      <alignment horizontal="general" vertical="bottom"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numFmt numFmtId="164" formatCode="[$-10409]#,##0"/>
      <alignment horizontal="general" vertical="bottom"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alignment horizontal="left" vertical="bottom"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alignment horizontal="left" vertical="bottom"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alignment horizontal="left" vertical="bottom" textRotation="0" wrapText="1" indent="0" justifyLastLine="0" shrinkToFit="0" readingOrder="1"/>
      <border diagonalUp="0" diagonalDown="0" outline="0">
        <left style="thin">
          <color rgb="FFD3D3D3"/>
        </left>
        <right style="thin">
          <color rgb="FFD3D3D3"/>
        </right>
        <top style="thin">
          <color rgb="FFD3D3D3"/>
        </top>
        <bottom style="thin">
          <color rgb="FFD3D3D3"/>
        </bottom>
      </border>
    </dxf>
    <dxf>
      <font>
        <b val="0"/>
        <i val="0"/>
        <strike val="0"/>
        <condense val="0"/>
        <extend val="0"/>
        <outline val="0"/>
        <shadow val="0"/>
        <u val="none"/>
        <vertAlign val="baseline"/>
        <sz val="12"/>
        <color rgb="FF000000"/>
        <name val="Calibri"/>
        <family val="2"/>
        <scheme val="minor"/>
      </font>
      <alignment horizontal="left" vertical="bottom" textRotation="0" wrapText="1" indent="0" justifyLastLine="0" shrinkToFit="0" readingOrder="1"/>
      <border diagonalUp="0" diagonalDown="0" outline="0">
        <left/>
        <right style="thin">
          <color rgb="FFD3D3D3"/>
        </right>
        <top style="thin">
          <color rgb="FFD3D3D3"/>
        </top>
        <bottom style="thin">
          <color rgb="FFD3D3D3"/>
        </bottom>
      </border>
    </dxf>
    <dxf>
      <border outline="0">
        <top style="thin">
          <color rgb="FFD3D3D3"/>
        </top>
      </border>
    </dxf>
    <dxf>
      <border outline="0">
        <bottom style="thin">
          <color rgb="FFD3D3D3"/>
        </bottom>
      </border>
    </dxf>
    <dxf>
      <border outline="0">
        <left style="thin">
          <color rgb="FF5E7630"/>
        </left>
        <right style="thin">
          <color rgb="FF5E7630"/>
        </right>
        <top style="thin">
          <color rgb="FF5E7630"/>
        </top>
        <bottom style="thin">
          <color rgb="FF5E7630"/>
        </bottom>
      </border>
    </dxf>
    <dxf>
      <font>
        <b val="0"/>
        <i val="0"/>
        <strike val="0"/>
        <condense val="0"/>
        <extend val="0"/>
        <outline val="0"/>
        <shadow val="0"/>
        <u val="none"/>
        <vertAlign val="baseline"/>
        <sz val="12"/>
        <color rgb="FF000000"/>
        <name val="Calibri"/>
        <family val="2"/>
        <scheme val="minor"/>
      </font>
      <alignment horizontal="general" vertical="bottom" textRotation="0" wrapText="1" indent="0" justifyLastLine="0" shrinkToFit="0" readingOrder="1"/>
    </dxf>
    <dxf>
      <font>
        <b/>
        <i val="0"/>
        <strike val="0"/>
        <condense val="0"/>
        <extend val="0"/>
        <outline val="0"/>
        <shadow val="0"/>
        <u val="none"/>
        <vertAlign val="baseline"/>
        <sz val="12"/>
        <color theme="0"/>
        <name val="Calibri"/>
        <family val="2"/>
        <scheme val="minor"/>
      </font>
      <alignment horizontal="left" vertical="bottom" textRotation="0" wrapText="1" indent="0" justifyLastLine="0" shrinkToFit="0" readingOrder="1"/>
      <border diagonalUp="0" diagonalDown="0" outline="0">
        <left style="thin">
          <color rgb="FFD3D3D3"/>
        </left>
        <right style="thin">
          <color rgb="FFD3D3D3"/>
        </right>
        <top/>
        <bottom/>
      </border>
    </dxf>
  </dxfs>
  <tableStyles count="0" defaultTableStyle="TableStyleMedium2" defaultPivotStyle="PivotStyleLight16"/>
  <colors>
    <mruColors>
      <color rgb="FF72D1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206DC-FB60-43D2-B215-DA654F30E125}" name="sites_table" displayName="sites_table" ref="A1:H399" totalsRowShown="0" headerRowDxfId="12" dataDxfId="11" headerRowBorderDxfId="9" tableBorderDxfId="10" totalsRowBorderDxfId="8">
  <autoFilter ref="A1:H399" xr:uid="{47423D58-EF4A-E34A-9093-C87BF5A3597A}"/>
  <sortState xmlns:xlrd2="http://schemas.microsoft.com/office/spreadsheetml/2017/richdata2" ref="A2:H399">
    <sortCondition ref="A1:A399"/>
  </sortState>
  <tableColumns count="8">
    <tableColumn id="1" xr3:uid="{E49C10EE-23C8-4A88-A5BE-147923FD0372}" name="Site Name" dataDxfId="7"/>
    <tableColumn id="2" xr3:uid="{7DC92E10-DB23-4C78-A6B1-B8E6FA73BFE8}" name="Site Type" dataDxfId="6"/>
    <tableColumn id="3" xr3:uid="{ADAA71D9-D219-4868-BD51-10D4C25CA1C1}" name="Region" dataDxfId="5"/>
    <tableColumn id="4" xr3:uid="{A131A7C9-E537-4126-BA88-A49295FF22FA}" name="State" dataDxfId="4"/>
    <tableColumn id="6" xr3:uid="{AB50A79F-B7CE-4199-9D55-7DA01715A210}" name="Recreation Visits" dataDxfId="3"/>
    <tableColumn id="9" xr3:uid="{FFAB5196-8673-4E10-963B-FA6F2A776722}" name="Tent Campers" dataDxfId="2"/>
    <tableColumn id="10" xr3:uid="{6C2ED9CC-48C0-4FEC-8640-6A9DCAAD8AD8}" name="RV Campers" dataDxfId="1"/>
    <tableColumn id="11" xr3:uid="{045E150B-94C6-46B0-A0A7-BEDF4310FD6C}" name="Backcountry Camper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8890-93CE-4DF6-B565-FAA7924D819C}">
  <dimension ref="A1:E13"/>
  <sheetViews>
    <sheetView zoomScale="62" workbookViewId="0">
      <selection activeCell="B10" sqref="B10:E10"/>
    </sheetView>
  </sheetViews>
  <sheetFormatPr defaultColWidth="10.69921875" defaultRowHeight="15.6" x14ac:dyDescent="0.3"/>
  <cols>
    <col min="1" max="1" width="38.69921875" customWidth="1"/>
    <col min="2" max="2" width="87.5" customWidth="1"/>
    <col min="5" max="5" width="64.19921875" customWidth="1"/>
  </cols>
  <sheetData>
    <row r="1" spans="1:5" ht="16.05" customHeight="1" x14ac:dyDescent="0.3">
      <c r="A1" s="1" t="s">
        <v>0</v>
      </c>
      <c r="B1" s="2"/>
      <c r="C1" s="2"/>
      <c r="D1" s="2"/>
      <c r="E1" s="2"/>
    </row>
    <row r="2" spans="1:5" ht="16.05" customHeight="1" x14ac:dyDescent="0.3">
      <c r="A2" s="1"/>
      <c r="B2" s="2"/>
      <c r="C2" s="2"/>
      <c r="D2" s="2"/>
      <c r="E2" s="2"/>
    </row>
    <row r="3" spans="1:5" ht="16.95" customHeight="1" x14ac:dyDescent="0.3">
      <c r="A3" s="1"/>
      <c r="B3" s="2"/>
      <c r="C3" s="2"/>
      <c r="D3" s="2"/>
      <c r="E3" s="2"/>
    </row>
    <row r="4" spans="1:5" ht="23.4" x14ac:dyDescent="0.3">
      <c r="A4" s="3" t="s">
        <v>1</v>
      </c>
      <c r="B4" s="3"/>
      <c r="C4" s="3"/>
      <c r="D4" s="3"/>
      <c r="E4" s="3"/>
    </row>
    <row r="5" spans="1:5" ht="18" x14ac:dyDescent="0.35">
      <c r="A5" s="4" t="s">
        <v>2</v>
      </c>
      <c r="B5" s="5" t="s">
        <v>3</v>
      </c>
      <c r="C5" s="6"/>
      <c r="D5" s="6"/>
      <c r="E5" s="7"/>
    </row>
    <row r="6" spans="1:5" ht="19.05" customHeight="1" x14ac:dyDescent="0.35">
      <c r="A6" s="8" t="s">
        <v>4</v>
      </c>
      <c r="B6" s="9" t="s">
        <v>5</v>
      </c>
      <c r="C6" s="10"/>
      <c r="D6" s="10"/>
      <c r="E6" s="11"/>
    </row>
    <row r="7" spans="1:5" ht="18" customHeight="1" x14ac:dyDescent="0.35">
      <c r="A7" s="12" t="s">
        <v>6</v>
      </c>
      <c r="B7" s="13" t="s">
        <v>7</v>
      </c>
      <c r="C7" s="14"/>
      <c r="D7" s="14"/>
      <c r="E7" s="15"/>
    </row>
    <row r="8" spans="1:5" ht="19.95" customHeight="1" x14ac:dyDescent="0.35">
      <c r="A8" s="16" t="s">
        <v>8</v>
      </c>
      <c r="B8" s="17" t="s">
        <v>9</v>
      </c>
      <c r="C8" s="18"/>
      <c r="D8" s="18"/>
      <c r="E8" s="19"/>
    </row>
    <row r="9" spans="1:5" ht="16.05" customHeight="1" x14ac:dyDescent="0.35">
      <c r="A9" s="12" t="s">
        <v>10</v>
      </c>
      <c r="B9" s="20" t="s">
        <v>11</v>
      </c>
      <c r="C9" s="21"/>
      <c r="D9" s="21"/>
      <c r="E9" s="22"/>
    </row>
    <row r="10" spans="1:5" ht="19.05" customHeight="1" x14ac:dyDescent="0.35">
      <c r="A10" s="16" t="s">
        <v>12</v>
      </c>
      <c r="B10" s="23" t="s">
        <v>13</v>
      </c>
      <c r="C10" s="24"/>
      <c r="D10" s="24"/>
      <c r="E10" s="25"/>
    </row>
    <row r="11" spans="1:5" ht="18" x14ac:dyDescent="0.35">
      <c r="A11" s="26" t="s">
        <v>14</v>
      </c>
      <c r="B11" s="27" t="s">
        <v>15</v>
      </c>
      <c r="C11" s="28"/>
      <c r="D11" s="28"/>
      <c r="E11" s="29"/>
    </row>
    <row r="12" spans="1:5" ht="18" x14ac:dyDescent="0.35">
      <c r="A12" s="8" t="s">
        <v>16</v>
      </c>
      <c r="B12" s="30" t="s">
        <v>17</v>
      </c>
      <c r="C12" s="31"/>
      <c r="D12" s="31"/>
      <c r="E12" s="32"/>
    </row>
    <row r="13" spans="1:5" ht="18" x14ac:dyDescent="0.35">
      <c r="A13" s="26" t="s">
        <v>18</v>
      </c>
      <c r="B13" s="27" t="s">
        <v>19</v>
      </c>
      <c r="C13" s="28"/>
      <c r="D13" s="28"/>
      <c r="E13" s="29"/>
    </row>
  </sheetData>
  <mergeCells count="11">
    <mergeCell ref="B9:E9"/>
    <mergeCell ref="B10:E10"/>
    <mergeCell ref="B11:E11"/>
    <mergeCell ref="B12:E12"/>
    <mergeCell ref="B13:E13"/>
    <mergeCell ref="A1:E3"/>
    <mergeCell ref="A4:E4"/>
    <mergeCell ref="B5:E5"/>
    <mergeCell ref="B6:E6"/>
    <mergeCell ref="B7:E7"/>
    <mergeCell ref="B8: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4FBD-511E-4181-A470-354683DC8773}">
  <dimension ref="A1:H399"/>
  <sheetViews>
    <sheetView zoomScale="105" workbookViewId="0">
      <selection activeCell="B401" sqref="B401"/>
    </sheetView>
  </sheetViews>
  <sheetFormatPr defaultColWidth="21.296875" defaultRowHeight="19.95" customHeight="1" x14ac:dyDescent="0.3"/>
  <cols>
    <col min="1" max="1" width="34" customWidth="1"/>
    <col min="2" max="2" width="28.5" customWidth="1"/>
    <col min="8" max="8" width="25.796875" customWidth="1"/>
  </cols>
  <sheetData>
    <row r="1" spans="1:8" ht="19.95" customHeight="1" x14ac:dyDescent="0.3">
      <c r="A1" s="33" t="s">
        <v>4</v>
      </c>
      <c r="B1" s="34" t="s">
        <v>6</v>
      </c>
      <c r="C1" s="34" t="s">
        <v>8</v>
      </c>
      <c r="D1" s="34" t="s">
        <v>10</v>
      </c>
      <c r="E1" s="34" t="s">
        <v>12</v>
      </c>
      <c r="F1" s="34" t="s">
        <v>14</v>
      </c>
      <c r="G1" s="34" t="s">
        <v>16</v>
      </c>
      <c r="H1" s="35" t="s">
        <v>18</v>
      </c>
    </row>
    <row r="2" spans="1:8" ht="19.95" customHeight="1" x14ac:dyDescent="0.3">
      <c r="A2" s="36" t="s">
        <v>20</v>
      </c>
      <c r="B2" s="37" t="s">
        <v>21</v>
      </c>
      <c r="C2" s="37" t="s">
        <v>22</v>
      </c>
      <c r="D2" s="37" t="s">
        <v>23</v>
      </c>
      <c r="E2" s="38">
        <v>249166</v>
      </c>
      <c r="F2" s="38">
        <v>0</v>
      </c>
      <c r="G2" s="38">
        <v>0</v>
      </c>
      <c r="H2" s="39">
        <v>0</v>
      </c>
    </row>
    <row r="3" spans="1:8" ht="19.95" customHeight="1" x14ac:dyDescent="0.3">
      <c r="A3" s="36" t="s">
        <v>24</v>
      </c>
      <c r="B3" s="37" t="s">
        <v>25</v>
      </c>
      <c r="C3" s="37" t="s">
        <v>26</v>
      </c>
      <c r="D3" s="37" t="s">
        <v>27</v>
      </c>
      <c r="E3" s="38">
        <v>3961661</v>
      </c>
      <c r="F3" s="38">
        <v>142739</v>
      </c>
      <c r="G3" s="38">
        <v>52950</v>
      </c>
      <c r="H3" s="39">
        <v>1175</v>
      </c>
    </row>
    <row r="4" spans="1:8" ht="19.95" customHeight="1" x14ac:dyDescent="0.3">
      <c r="A4" s="36" t="s">
        <v>28</v>
      </c>
      <c r="B4" s="37" t="s">
        <v>21</v>
      </c>
      <c r="C4" s="37" t="s">
        <v>26</v>
      </c>
      <c r="D4" s="37" t="s">
        <v>29</v>
      </c>
      <c r="E4" s="38">
        <v>45656</v>
      </c>
      <c r="F4" s="38">
        <v>0</v>
      </c>
      <c r="G4" s="38">
        <v>0</v>
      </c>
      <c r="H4" s="39">
        <v>0</v>
      </c>
    </row>
    <row r="5" spans="1:8" ht="19.95" customHeight="1" x14ac:dyDescent="0.3">
      <c r="A5" s="36" t="s">
        <v>30</v>
      </c>
      <c r="B5" s="37" t="s">
        <v>31</v>
      </c>
      <c r="C5" s="37" t="s">
        <v>26</v>
      </c>
      <c r="D5" s="37" t="s">
        <v>32</v>
      </c>
      <c r="E5" s="38">
        <v>36007</v>
      </c>
      <c r="F5" s="38">
        <v>0</v>
      </c>
      <c r="G5" s="38">
        <v>0</v>
      </c>
      <c r="H5" s="39">
        <v>0</v>
      </c>
    </row>
    <row r="6" spans="1:8" ht="19.95" customHeight="1" x14ac:dyDescent="0.3">
      <c r="A6" s="36" t="s">
        <v>33</v>
      </c>
      <c r="B6" s="37" t="s">
        <v>31</v>
      </c>
      <c r="C6" s="37" t="s">
        <v>34</v>
      </c>
      <c r="D6" s="37" t="s">
        <v>35</v>
      </c>
      <c r="E6" s="38">
        <v>19395</v>
      </c>
      <c r="F6" s="38">
        <v>0</v>
      </c>
      <c r="G6" s="38">
        <v>0</v>
      </c>
      <c r="H6" s="39">
        <v>0</v>
      </c>
    </row>
    <row r="7" spans="1:8" ht="19.95" customHeight="1" x14ac:dyDescent="0.3">
      <c r="A7" s="36" t="s">
        <v>36</v>
      </c>
      <c r="B7" s="37" t="s">
        <v>37</v>
      </c>
      <c r="C7" s="37" t="s">
        <v>38</v>
      </c>
      <c r="D7" s="37" t="s">
        <v>39</v>
      </c>
      <c r="E7" s="38">
        <v>278</v>
      </c>
      <c r="F7" s="38">
        <v>0</v>
      </c>
      <c r="G7" s="38">
        <v>0</v>
      </c>
      <c r="H7" s="39">
        <v>380</v>
      </c>
    </row>
    <row r="8" spans="1:8" ht="19.95" customHeight="1" x14ac:dyDescent="0.3">
      <c r="A8" s="36" t="s">
        <v>40</v>
      </c>
      <c r="B8" s="37" t="s">
        <v>31</v>
      </c>
      <c r="C8" s="37" t="s">
        <v>41</v>
      </c>
      <c r="D8" s="37" t="s">
        <v>42</v>
      </c>
      <c r="E8" s="38">
        <v>8558</v>
      </c>
      <c r="F8" s="38">
        <v>0</v>
      </c>
      <c r="G8" s="38">
        <v>0</v>
      </c>
      <c r="H8" s="39">
        <v>0</v>
      </c>
    </row>
    <row r="9" spans="1:8" ht="19.95" customHeight="1" x14ac:dyDescent="0.3">
      <c r="A9" s="36" t="s">
        <v>43</v>
      </c>
      <c r="B9" s="37" t="s">
        <v>44</v>
      </c>
      <c r="C9" s="37" t="s">
        <v>26</v>
      </c>
      <c r="D9" s="37" t="s">
        <v>45</v>
      </c>
      <c r="E9" s="38">
        <v>193903</v>
      </c>
      <c r="F9" s="38">
        <v>0</v>
      </c>
      <c r="G9" s="38">
        <v>0</v>
      </c>
      <c r="H9" s="39">
        <v>0</v>
      </c>
    </row>
    <row r="10" spans="1:8" ht="19.95" customHeight="1" x14ac:dyDescent="0.3">
      <c r="A10" s="36" t="s">
        <v>46</v>
      </c>
      <c r="B10" s="37" t="s">
        <v>44</v>
      </c>
      <c r="C10" s="37" t="s">
        <v>41</v>
      </c>
      <c r="D10" s="37" t="s">
        <v>47</v>
      </c>
      <c r="E10" s="38">
        <v>4771</v>
      </c>
      <c r="F10" s="38">
        <v>0</v>
      </c>
      <c r="G10" s="38">
        <v>0</v>
      </c>
      <c r="H10" s="39">
        <v>0</v>
      </c>
    </row>
    <row r="11" spans="1:8" ht="19.95" customHeight="1" x14ac:dyDescent="0.3">
      <c r="A11" s="36" t="s">
        <v>48</v>
      </c>
      <c r="B11" s="37" t="s">
        <v>49</v>
      </c>
      <c r="C11" s="37" t="s">
        <v>41</v>
      </c>
      <c r="D11" s="37" t="s">
        <v>42</v>
      </c>
      <c r="E11" s="38">
        <v>832294</v>
      </c>
      <c r="F11" s="38">
        <v>0</v>
      </c>
      <c r="G11" s="38">
        <v>7241</v>
      </c>
      <c r="H11" s="39">
        <v>0</v>
      </c>
    </row>
    <row r="12" spans="1:8" ht="19.95" customHeight="1" x14ac:dyDescent="0.3">
      <c r="A12" s="36" t="s">
        <v>50</v>
      </c>
      <c r="B12" s="37" t="s">
        <v>44</v>
      </c>
      <c r="C12" s="37" t="s">
        <v>22</v>
      </c>
      <c r="D12" s="37" t="s">
        <v>51</v>
      </c>
      <c r="E12" s="38">
        <v>72925</v>
      </c>
      <c r="F12" s="38">
        <v>0</v>
      </c>
      <c r="G12" s="38">
        <v>0</v>
      </c>
      <c r="H12" s="39">
        <v>0</v>
      </c>
    </row>
    <row r="13" spans="1:8" ht="19.95" customHeight="1" x14ac:dyDescent="0.3">
      <c r="A13" s="36" t="s">
        <v>52</v>
      </c>
      <c r="B13" s="37" t="s">
        <v>44</v>
      </c>
      <c r="C13" s="37" t="s">
        <v>22</v>
      </c>
      <c r="D13" s="37" t="s">
        <v>53</v>
      </c>
      <c r="E13" s="38">
        <v>55270</v>
      </c>
      <c r="F13" s="38">
        <v>0</v>
      </c>
      <c r="G13" s="38">
        <v>0</v>
      </c>
      <c r="H13" s="39">
        <v>0</v>
      </c>
    </row>
    <row r="14" spans="1:8" ht="19.95" customHeight="1" x14ac:dyDescent="0.3">
      <c r="A14" s="36" t="s">
        <v>54</v>
      </c>
      <c r="B14" s="37" t="s">
        <v>31</v>
      </c>
      <c r="C14" s="37" t="s">
        <v>38</v>
      </c>
      <c r="D14" s="37" t="s">
        <v>39</v>
      </c>
      <c r="E14" s="38">
        <v>191</v>
      </c>
      <c r="F14" s="38">
        <v>0</v>
      </c>
      <c r="G14" s="38">
        <v>0</v>
      </c>
      <c r="H14" s="39">
        <v>396</v>
      </c>
    </row>
    <row r="15" spans="1:8" ht="19.95" customHeight="1" x14ac:dyDescent="0.3">
      <c r="A15" s="36" t="s">
        <v>55</v>
      </c>
      <c r="B15" s="37" t="s">
        <v>56</v>
      </c>
      <c r="C15" s="37" t="s">
        <v>57</v>
      </c>
      <c r="D15" s="37" t="s">
        <v>58</v>
      </c>
      <c r="E15" s="38">
        <v>197340</v>
      </c>
      <c r="F15" s="38">
        <v>0</v>
      </c>
      <c r="G15" s="38">
        <v>0</v>
      </c>
      <c r="H15" s="39">
        <v>0</v>
      </c>
    </row>
    <row r="16" spans="1:8" ht="19.95" customHeight="1" x14ac:dyDescent="0.3">
      <c r="A16" s="36" t="s">
        <v>59</v>
      </c>
      <c r="B16" s="37" t="s">
        <v>60</v>
      </c>
      <c r="C16" s="37" t="s">
        <v>34</v>
      </c>
      <c r="D16" s="37" t="s">
        <v>61</v>
      </c>
      <c r="E16" s="38">
        <v>253703</v>
      </c>
      <c r="F16" s="38">
        <v>0</v>
      </c>
      <c r="G16" s="38">
        <v>0</v>
      </c>
      <c r="H16" s="39">
        <v>11033</v>
      </c>
    </row>
    <row r="17" spans="1:8" ht="19.95" customHeight="1" x14ac:dyDescent="0.3">
      <c r="A17" s="36" t="s">
        <v>62</v>
      </c>
      <c r="B17" s="37" t="s">
        <v>21</v>
      </c>
      <c r="C17" s="37" t="s">
        <v>26</v>
      </c>
      <c r="D17" s="37" t="s">
        <v>63</v>
      </c>
      <c r="E17" s="38">
        <v>83769</v>
      </c>
      <c r="F17" s="38">
        <v>0</v>
      </c>
      <c r="G17" s="38">
        <v>0</v>
      </c>
      <c r="H17" s="39">
        <v>0</v>
      </c>
    </row>
    <row r="18" spans="1:8" ht="19.95" customHeight="1" x14ac:dyDescent="0.3">
      <c r="A18" s="36" t="s">
        <v>64</v>
      </c>
      <c r="B18" s="37" t="s">
        <v>25</v>
      </c>
      <c r="C18" s="37" t="s">
        <v>41</v>
      </c>
      <c r="D18" s="37" t="s">
        <v>65</v>
      </c>
      <c r="E18" s="38">
        <v>1466528</v>
      </c>
      <c r="F18" s="38">
        <v>14588</v>
      </c>
      <c r="G18" s="38">
        <v>25619</v>
      </c>
      <c r="H18" s="39">
        <v>140</v>
      </c>
    </row>
    <row r="19" spans="1:8" ht="19.95" customHeight="1" x14ac:dyDescent="0.3">
      <c r="A19" s="36" t="s">
        <v>66</v>
      </c>
      <c r="B19" s="37" t="s">
        <v>67</v>
      </c>
      <c r="C19" s="37" t="s">
        <v>34</v>
      </c>
      <c r="D19" s="37" t="s">
        <v>68</v>
      </c>
      <c r="E19" s="38">
        <v>26203</v>
      </c>
      <c r="F19" s="38">
        <v>0</v>
      </c>
      <c r="G19" s="38">
        <v>0</v>
      </c>
      <c r="H19" s="39">
        <v>0</v>
      </c>
    </row>
    <row r="20" spans="1:8" ht="19.95" customHeight="1" x14ac:dyDescent="0.3">
      <c r="A20" s="36" t="s">
        <v>69</v>
      </c>
      <c r="B20" s="37" t="s">
        <v>67</v>
      </c>
      <c r="C20" s="37" t="s">
        <v>57</v>
      </c>
      <c r="D20" s="37" t="s">
        <v>63</v>
      </c>
      <c r="E20" s="38">
        <v>447641</v>
      </c>
      <c r="F20" s="38">
        <v>0</v>
      </c>
      <c r="G20" s="38">
        <v>0</v>
      </c>
      <c r="H20" s="39">
        <v>0</v>
      </c>
    </row>
    <row r="21" spans="1:8" ht="19.95" customHeight="1" x14ac:dyDescent="0.3">
      <c r="A21" s="36" t="s">
        <v>70</v>
      </c>
      <c r="B21" s="37" t="s">
        <v>71</v>
      </c>
      <c r="C21" s="37" t="s">
        <v>26</v>
      </c>
      <c r="D21" s="37" t="s">
        <v>58</v>
      </c>
      <c r="E21" s="38">
        <v>2282498</v>
      </c>
      <c r="F21" s="38">
        <v>39801</v>
      </c>
      <c r="G21" s="38">
        <v>30910</v>
      </c>
      <c r="H21" s="39">
        <v>1133</v>
      </c>
    </row>
    <row r="22" spans="1:8" ht="19.95" customHeight="1" x14ac:dyDescent="0.3">
      <c r="A22" s="36" t="s">
        <v>72</v>
      </c>
      <c r="B22" s="37" t="s">
        <v>31</v>
      </c>
      <c r="C22" s="37" t="s">
        <v>41</v>
      </c>
      <c r="D22" s="37" t="s">
        <v>73</v>
      </c>
      <c r="E22" s="38">
        <v>40019</v>
      </c>
      <c r="F22" s="38">
        <v>0</v>
      </c>
      <c r="G22" s="38">
        <v>0</v>
      </c>
      <c r="H22" s="39">
        <v>0</v>
      </c>
    </row>
    <row r="23" spans="1:8" ht="19.95" customHeight="1" x14ac:dyDescent="0.3">
      <c r="A23" s="36" t="s">
        <v>74</v>
      </c>
      <c r="B23" s="37" t="s">
        <v>25</v>
      </c>
      <c r="C23" s="37" t="s">
        <v>34</v>
      </c>
      <c r="D23" s="37" t="s">
        <v>75</v>
      </c>
      <c r="E23" s="38">
        <v>1094245</v>
      </c>
      <c r="F23" s="38">
        <v>3156</v>
      </c>
      <c r="G23" s="38">
        <v>922</v>
      </c>
      <c r="H23" s="39">
        <v>1441</v>
      </c>
    </row>
    <row r="24" spans="1:8" ht="19.95" customHeight="1" x14ac:dyDescent="0.3">
      <c r="A24" s="36" t="s">
        <v>76</v>
      </c>
      <c r="B24" s="37" t="s">
        <v>31</v>
      </c>
      <c r="C24" s="37" t="s">
        <v>41</v>
      </c>
      <c r="D24" s="37" t="s">
        <v>73</v>
      </c>
      <c r="E24" s="38">
        <v>213595</v>
      </c>
      <c r="F24" s="38">
        <v>7971</v>
      </c>
      <c r="G24" s="38">
        <v>10947</v>
      </c>
      <c r="H24" s="39">
        <v>463</v>
      </c>
    </row>
    <row r="25" spans="1:8" ht="19.95" customHeight="1" x14ac:dyDescent="0.3">
      <c r="A25" s="36" t="s">
        <v>77</v>
      </c>
      <c r="B25" s="37" t="s">
        <v>31</v>
      </c>
      <c r="C25" s="37" t="s">
        <v>57</v>
      </c>
      <c r="D25" s="37" t="s">
        <v>78</v>
      </c>
      <c r="E25" s="38">
        <v>7704</v>
      </c>
      <c r="F25" s="38">
        <v>0</v>
      </c>
      <c r="G25" s="38">
        <v>0</v>
      </c>
      <c r="H25" s="39">
        <v>0</v>
      </c>
    </row>
    <row r="26" spans="1:8" ht="19.95" customHeight="1" x14ac:dyDescent="0.3">
      <c r="A26" s="36" t="s">
        <v>79</v>
      </c>
      <c r="B26" s="37" t="s">
        <v>44</v>
      </c>
      <c r="C26" s="37" t="s">
        <v>41</v>
      </c>
      <c r="D26" s="37" t="s">
        <v>47</v>
      </c>
      <c r="E26" s="38">
        <v>16102</v>
      </c>
      <c r="F26" s="38">
        <v>0</v>
      </c>
      <c r="G26" s="38">
        <v>0</v>
      </c>
      <c r="H26" s="39">
        <v>0</v>
      </c>
    </row>
    <row r="27" spans="1:8" ht="19.95" customHeight="1" x14ac:dyDescent="0.3">
      <c r="A27" s="36" t="s">
        <v>80</v>
      </c>
      <c r="B27" s="37" t="s">
        <v>81</v>
      </c>
      <c r="C27" s="37" t="s">
        <v>38</v>
      </c>
      <c r="D27" s="37" t="s">
        <v>39</v>
      </c>
      <c r="E27" s="38">
        <v>2642</v>
      </c>
      <c r="F27" s="38">
        <v>0</v>
      </c>
      <c r="G27" s="38">
        <v>0</v>
      </c>
      <c r="H27" s="39">
        <v>1123</v>
      </c>
    </row>
    <row r="28" spans="1:8" ht="19.95" customHeight="1" x14ac:dyDescent="0.3">
      <c r="A28" s="36" t="s">
        <v>82</v>
      </c>
      <c r="B28" s="37" t="s">
        <v>25</v>
      </c>
      <c r="C28" s="37" t="s">
        <v>41</v>
      </c>
      <c r="D28" s="37" t="s">
        <v>42</v>
      </c>
      <c r="E28" s="38">
        <v>561458</v>
      </c>
      <c r="F28" s="38">
        <v>69606</v>
      </c>
      <c r="G28" s="38">
        <v>27860</v>
      </c>
      <c r="H28" s="39">
        <v>48597</v>
      </c>
    </row>
    <row r="29" spans="1:8" ht="19.95" customHeight="1" x14ac:dyDescent="0.3">
      <c r="A29" s="36" t="s">
        <v>83</v>
      </c>
      <c r="B29" s="37" t="s">
        <v>81</v>
      </c>
      <c r="C29" s="37" t="s">
        <v>22</v>
      </c>
      <c r="D29" s="37" t="s">
        <v>84</v>
      </c>
      <c r="E29" s="38">
        <v>2216708</v>
      </c>
      <c r="F29" s="38">
        <v>1499</v>
      </c>
      <c r="G29" s="38">
        <v>25018</v>
      </c>
      <c r="H29" s="39">
        <v>2256</v>
      </c>
    </row>
    <row r="30" spans="1:8" ht="19.95" customHeight="1" x14ac:dyDescent="0.3">
      <c r="A30" s="36" t="s">
        <v>85</v>
      </c>
      <c r="B30" s="37" t="s">
        <v>56</v>
      </c>
      <c r="C30" s="37" t="s">
        <v>86</v>
      </c>
      <c r="D30" s="37" t="s">
        <v>87</v>
      </c>
      <c r="E30" s="38">
        <v>45211</v>
      </c>
      <c r="F30" s="38">
        <v>0</v>
      </c>
      <c r="G30" s="38">
        <v>0</v>
      </c>
      <c r="H30" s="39">
        <v>0</v>
      </c>
    </row>
    <row r="31" spans="1:8" ht="19.95" customHeight="1" x14ac:dyDescent="0.3">
      <c r="A31" s="36" t="s">
        <v>88</v>
      </c>
      <c r="B31" s="37" t="s">
        <v>89</v>
      </c>
      <c r="C31" s="37" t="s">
        <v>22</v>
      </c>
      <c r="D31" s="37" t="s">
        <v>53</v>
      </c>
      <c r="E31" s="38">
        <v>779602</v>
      </c>
      <c r="F31" s="38">
        <v>14630</v>
      </c>
      <c r="G31" s="38">
        <v>30693</v>
      </c>
      <c r="H31" s="39">
        <v>9007</v>
      </c>
    </row>
    <row r="32" spans="1:8" ht="19.95" customHeight="1" x14ac:dyDescent="0.3">
      <c r="A32" s="36" t="s">
        <v>90</v>
      </c>
      <c r="B32" s="37" t="s">
        <v>81</v>
      </c>
      <c r="C32" s="37" t="s">
        <v>41</v>
      </c>
      <c r="D32" s="37" t="s">
        <v>42</v>
      </c>
      <c r="E32" s="38">
        <v>271823</v>
      </c>
      <c r="F32" s="38">
        <v>0</v>
      </c>
      <c r="G32" s="38">
        <v>0</v>
      </c>
      <c r="H32" s="39">
        <v>966</v>
      </c>
    </row>
    <row r="33" spans="1:8" ht="19.95" customHeight="1" x14ac:dyDescent="0.3">
      <c r="A33" s="36" t="s">
        <v>91</v>
      </c>
      <c r="B33" s="37" t="s">
        <v>49</v>
      </c>
      <c r="C33" s="37" t="s">
        <v>41</v>
      </c>
      <c r="D33" s="37" t="s">
        <v>87</v>
      </c>
      <c r="E33" s="38">
        <v>219815</v>
      </c>
      <c r="F33" s="38">
        <v>0</v>
      </c>
      <c r="G33" s="38">
        <v>0</v>
      </c>
      <c r="H33" s="39">
        <v>405</v>
      </c>
    </row>
    <row r="34" spans="1:8" ht="19.95" customHeight="1" x14ac:dyDescent="0.3">
      <c r="A34" s="36" t="s">
        <v>92</v>
      </c>
      <c r="B34" s="37" t="s">
        <v>25</v>
      </c>
      <c r="C34" s="37" t="s">
        <v>22</v>
      </c>
      <c r="D34" s="37" t="s">
        <v>84</v>
      </c>
      <c r="E34" s="38">
        <v>512213</v>
      </c>
      <c r="F34" s="38">
        <v>393</v>
      </c>
      <c r="G34" s="38">
        <v>0</v>
      </c>
      <c r="H34" s="39">
        <v>0</v>
      </c>
    </row>
    <row r="35" spans="1:8" ht="19.95" customHeight="1" x14ac:dyDescent="0.3">
      <c r="A35" s="36" t="s">
        <v>93</v>
      </c>
      <c r="B35" s="37" t="s">
        <v>25</v>
      </c>
      <c r="C35" s="37" t="s">
        <v>41</v>
      </c>
      <c r="D35" s="37" t="s">
        <v>47</v>
      </c>
      <c r="E35" s="38">
        <v>335862</v>
      </c>
      <c r="F35" s="38">
        <v>16795</v>
      </c>
      <c r="G35" s="38">
        <v>12577</v>
      </c>
      <c r="H35" s="39">
        <v>1273</v>
      </c>
    </row>
    <row r="36" spans="1:8" ht="19.95" customHeight="1" x14ac:dyDescent="0.3">
      <c r="A36" s="36" t="s">
        <v>94</v>
      </c>
      <c r="B36" s="37" t="s">
        <v>95</v>
      </c>
      <c r="C36" s="37" t="s">
        <v>22</v>
      </c>
      <c r="D36" s="37" t="s">
        <v>96</v>
      </c>
      <c r="E36" s="38">
        <v>16733639</v>
      </c>
      <c r="F36" s="38">
        <v>48963</v>
      </c>
      <c r="G36" s="38">
        <v>32222</v>
      </c>
      <c r="H36" s="39">
        <v>307</v>
      </c>
    </row>
    <row r="37" spans="1:8" ht="19.95" customHeight="1" x14ac:dyDescent="0.3">
      <c r="A37" s="36" t="s">
        <v>97</v>
      </c>
      <c r="B37" s="37" t="s">
        <v>37</v>
      </c>
      <c r="C37" s="37" t="s">
        <v>26</v>
      </c>
      <c r="D37" s="37" t="s">
        <v>98</v>
      </c>
      <c r="E37" s="38">
        <v>7327</v>
      </c>
      <c r="F37" s="38">
        <v>0</v>
      </c>
      <c r="G37" s="38">
        <v>0</v>
      </c>
      <c r="H37" s="39">
        <v>0</v>
      </c>
    </row>
    <row r="38" spans="1:8" ht="19.95" customHeight="1" x14ac:dyDescent="0.3">
      <c r="A38" s="36" t="s">
        <v>99</v>
      </c>
      <c r="B38" s="37" t="s">
        <v>31</v>
      </c>
      <c r="C38" s="37" t="s">
        <v>26</v>
      </c>
      <c r="D38" s="37" t="s">
        <v>63</v>
      </c>
      <c r="E38" s="38">
        <v>24209</v>
      </c>
      <c r="F38" s="38">
        <v>0</v>
      </c>
      <c r="G38" s="38">
        <v>0</v>
      </c>
      <c r="H38" s="39">
        <v>0</v>
      </c>
    </row>
    <row r="39" spans="1:8" ht="19.95" customHeight="1" x14ac:dyDescent="0.3">
      <c r="A39" s="36" t="s">
        <v>100</v>
      </c>
      <c r="B39" s="37" t="s">
        <v>44</v>
      </c>
      <c r="C39" s="37" t="s">
        <v>26</v>
      </c>
      <c r="D39" s="37" t="s">
        <v>29</v>
      </c>
      <c r="E39" s="38">
        <v>393386</v>
      </c>
      <c r="F39" s="38">
        <v>0</v>
      </c>
      <c r="G39" s="38">
        <v>0</v>
      </c>
      <c r="H39" s="39">
        <v>0</v>
      </c>
    </row>
    <row r="40" spans="1:8" ht="19.95" customHeight="1" x14ac:dyDescent="0.3">
      <c r="A40" s="36" t="s">
        <v>101</v>
      </c>
      <c r="B40" s="37" t="s">
        <v>49</v>
      </c>
      <c r="C40" s="37" t="s">
        <v>26</v>
      </c>
      <c r="D40" s="37" t="s">
        <v>29</v>
      </c>
      <c r="E40" s="38">
        <v>28157</v>
      </c>
      <c r="F40" s="38">
        <v>0</v>
      </c>
      <c r="G40" s="38">
        <v>0</v>
      </c>
      <c r="H40" s="39">
        <v>0</v>
      </c>
    </row>
    <row r="41" spans="1:8" ht="19.95" customHeight="1" x14ac:dyDescent="0.3">
      <c r="A41" s="36" t="s">
        <v>102</v>
      </c>
      <c r="B41" s="37" t="s">
        <v>21</v>
      </c>
      <c r="C41" s="37" t="s">
        <v>26</v>
      </c>
      <c r="D41" s="37" t="s">
        <v>29</v>
      </c>
      <c r="E41" s="38">
        <v>2744458</v>
      </c>
      <c r="F41" s="38">
        <v>0</v>
      </c>
      <c r="G41" s="38">
        <v>0</v>
      </c>
      <c r="H41" s="39">
        <v>0</v>
      </c>
    </row>
    <row r="42" spans="1:8" ht="19.95" customHeight="1" x14ac:dyDescent="0.3">
      <c r="A42" s="36" t="s">
        <v>103</v>
      </c>
      <c r="B42" s="37" t="s">
        <v>21</v>
      </c>
      <c r="C42" s="37" t="s">
        <v>34</v>
      </c>
      <c r="D42" s="37" t="s">
        <v>104</v>
      </c>
      <c r="E42" s="38">
        <v>21919</v>
      </c>
      <c r="F42" s="38">
        <v>0</v>
      </c>
      <c r="G42" s="38">
        <v>0</v>
      </c>
      <c r="H42" s="39">
        <v>0</v>
      </c>
    </row>
    <row r="43" spans="1:8" ht="19.95" customHeight="1" x14ac:dyDescent="0.3">
      <c r="A43" s="36" t="s">
        <v>105</v>
      </c>
      <c r="B43" s="37" t="s">
        <v>25</v>
      </c>
      <c r="C43" s="37" t="s">
        <v>41</v>
      </c>
      <c r="D43" s="37" t="s">
        <v>65</v>
      </c>
      <c r="E43" s="38">
        <v>2498075</v>
      </c>
      <c r="F43" s="38">
        <v>45003</v>
      </c>
      <c r="G43" s="38">
        <v>48168</v>
      </c>
      <c r="H43" s="39">
        <v>2128</v>
      </c>
    </row>
    <row r="44" spans="1:8" ht="19.95" customHeight="1" x14ac:dyDescent="0.3">
      <c r="A44" s="36" t="s">
        <v>106</v>
      </c>
      <c r="B44" s="37" t="s">
        <v>31</v>
      </c>
      <c r="C44" s="37" t="s">
        <v>22</v>
      </c>
      <c r="D44" s="37" t="s">
        <v>107</v>
      </c>
      <c r="E44" s="38">
        <v>42289</v>
      </c>
      <c r="F44" s="38">
        <v>0</v>
      </c>
      <c r="G44" s="38">
        <v>0</v>
      </c>
      <c r="H44" s="39">
        <v>0</v>
      </c>
    </row>
    <row r="45" spans="1:8" ht="19.95" customHeight="1" x14ac:dyDescent="0.3">
      <c r="A45" s="36" t="s">
        <v>108</v>
      </c>
      <c r="B45" s="37" t="s">
        <v>89</v>
      </c>
      <c r="C45" s="37" t="s">
        <v>34</v>
      </c>
      <c r="D45" s="37" t="s">
        <v>68</v>
      </c>
      <c r="E45" s="38">
        <v>1686348</v>
      </c>
      <c r="F45" s="38">
        <v>64871</v>
      </c>
      <c r="G45" s="38">
        <v>36059</v>
      </c>
      <c r="H45" s="39">
        <v>18422</v>
      </c>
    </row>
    <row r="46" spans="1:8" ht="19.95" customHeight="1" x14ac:dyDescent="0.3">
      <c r="A46" s="36" t="s">
        <v>109</v>
      </c>
      <c r="B46" s="37" t="s">
        <v>31</v>
      </c>
      <c r="C46" s="37" t="s">
        <v>86</v>
      </c>
      <c r="D46" s="37" t="s">
        <v>110</v>
      </c>
      <c r="E46" s="38">
        <v>845912</v>
      </c>
      <c r="F46" s="38">
        <v>0</v>
      </c>
      <c r="G46" s="38">
        <v>0</v>
      </c>
      <c r="H46" s="39">
        <v>0</v>
      </c>
    </row>
    <row r="47" spans="1:8" ht="19.95" customHeight="1" x14ac:dyDescent="0.3">
      <c r="A47" s="36" t="s">
        <v>111</v>
      </c>
      <c r="B47" s="37" t="s">
        <v>31</v>
      </c>
      <c r="C47" s="37" t="s">
        <v>22</v>
      </c>
      <c r="D47" s="37" t="s">
        <v>23</v>
      </c>
      <c r="E47" s="38">
        <v>34716</v>
      </c>
      <c r="F47" s="38">
        <v>0</v>
      </c>
      <c r="G47" s="38">
        <v>0</v>
      </c>
      <c r="H47" s="39">
        <v>0</v>
      </c>
    </row>
    <row r="48" spans="1:8" ht="19.95" customHeight="1" x14ac:dyDescent="0.3">
      <c r="A48" s="36" t="s">
        <v>112</v>
      </c>
      <c r="B48" s="37" t="s">
        <v>71</v>
      </c>
      <c r="C48" s="37" t="s">
        <v>22</v>
      </c>
      <c r="D48" s="37" t="s">
        <v>84</v>
      </c>
      <c r="E48" s="38">
        <v>1884091</v>
      </c>
      <c r="F48" s="38">
        <v>0</v>
      </c>
      <c r="G48" s="38">
        <v>0</v>
      </c>
      <c r="H48" s="39">
        <v>4118</v>
      </c>
    </row>
    <row r="49" spans="1:8" ht="19.95" customHeight="1" x14ac:dyDescent="0.3">
      <c r="A49" s="36" t="s">
        <v>113</v>
      </c>
      <c r="B49" s="37" t="s">
        <v>21</v>
      </c>
      <c r="C49" s="37" t="s">
        <v>22</v>
      </c>
      <c r="D49" s="37" t="s">
        <v>114</v>
      </c>
      <c r="E49" s="38">
        <v>12592</v>
      </c>
      <c r="F49" s="38">
        <v>0</v>
      </c>
      <c r="G49" s="38">
        <v>0</v>
      </c>
      <c r="H49" s="39">
        <v>0</v>
      </c>
    </row>
    <row r="50" spans="1:8" ht="19.95" customHeight="1" x14ac:dyDescent="0.3">
      <c r="A50" s="36" t="s">
        <v>115</v>
      </c>
      <c r="B50" s="37" t="s">
        <v>31</v>
      </c>
      <c r="C50" s="37" t="s">
        <v>41</v>
      </c>
      <c r="D50" s="37" t="s">
        <v>116</v>
      </c>
      <c r="E50" s="38">
        <v>387433</v>
      </c>
      <c r="F50" s="38">
        <v>0</v>
      </c>
      <c r="G50" s="38">
        <v>0</v>
      </c>
      <c r="H50" s="39">
        <v>501</v>
      </c>
    </row>
    <row r="51" spans="1:8" ht="19.95" customHeight="1" x14ac:dyDescent="0.3">
      <c r="A51" s="36" t="s">
        <v>117</v>
      </c>
      <c r="B51" s="37" t="s">
        <v>25</v>
      </c>
      <c r="C51" s="37" t="s">
        <v>41</v>
      </c>
      <c r="D51" s="37" t="s">
        <v>65</v>
      </c>
      <c r="E51" s="38">
        <v>818492</v>
      </c>
      <c r="F51" s="38">
        <v>8509</v>
      </c>
      <c r="G51" s="38">
        <v>10209</v>
      </c>
      <c r="H51" s="39">
        <v>67957</v>
      </c>
    </row>
    <row r="52" spans="1:8" ht="19.95" customHeight="1" x14ac:dyDescent="0.3">
      <c r="A52" s="36" t="s">
        <v>118</v>
      </c>
      <c r="B52" s="37" t="s">
        <v>71</v>
      </c>
      <c r="C52" s="37" t="s">
        <v>26</v>
      </c>
      <c r="D52" s="37" t="s">
        <v>29</v>
      </c>
      <c r="E52" s="38">
        <v>3823242</v>
      </c>
      <c r="F52" s="38">
        <v>0</v>
      </c>
      <c r="G52" s="38">
        <v>0</v>
      </c>
      <c r="H52" s="39">
        <v>0</v>
      </c>
    </row>
    <row r="53" spans="1:8" ht="19.95" customHeight="1" x14ac:dyDescent="0.3">
      <c r="A53" s="36" t="s">
        <v>119</v>
      </c>
      <c r="B53" s="37" t="s">
        <v>71</v>
      </c>
      <c r="C53" s="37" t="s">
        <v>22</v>
      </c>
      <c r="D53" s="37" t="s">
        <v>96</v>
      </c>
      <c r="E53" s="38">
        <v>2762954</v>
      </c>
      <c r="F53" s="38">
        <v>69827</v>
      </c>
      <c r="G53" s="38">
        <v>88926</v>
      </c>
      <c r="H53" s="39">
        <v>0</v>
      </c>
    </row>
    <row r="54" spans="1:8" ht="19.95" customHeight="1" x14ac:dyDescent="0.3">
      <c r="A54" s="36" t="s">
        <v>120</v>
      </c>
      <c r="B54" s="37" t="s">
        <v>31</v>
      </c>
      <c r="C54" s="37" t="s">
        <v>38</v>
      </c>
      <c r="D54" s="37" t="s">
        <v>39</v>
      </c>
      <c r="E54" s="38">
        <v>17736</v>
      </c>
      <c r="F54" s="38">
        <v>0</v>
      </c>
      <c r="G54" s="38">
        <v>0</v>
      </c>
      <c r="H54" s="39">
        <v>5972</v>
      </c>
    </row>
    <row r="55" spans="1:8" ht="19.95" customHeight="1" x14ac:dyDescent="0.3">
      <c r="A55" s="36" t="s">
        <v>121</v>
      </c>
      <c r="B55" s="37" t="s">
        <v>71</v>
      </c>
      <c r="C55" s="37" t="s">
        <v>22</v>
      </c>
      <c r="D55" s="37" t="s">
        <v>96</v>
      </c>
      <c r="E55" s="38">
        <v>552786</v>
      </c>
      <c r="F55" s="38">
        <v>0</v>
      </c>
      <c r="G55" s="38">
        <v>0</v>
      </c>
      <c r="H55" s="39">
        <v>21380</v>
      </c>
    </row>
    <row r="56" spans="1:8" ht="19.95" customHeight="1" x14ac:dyDescent="0.3">
      <c r="A56" s="36" t="s">
        <v>122</v>
      </c>
      <c r="B56" s="37" t="s">
        <v>25</v>
      </c>
      <c r="C56" s="37" t="s">
        <v>41</v>
      </c>
      <c r="D56" s="37" t="s">
        <v>65</v>
      </c>
      <c r="E56" s="38">
        <v>1422490</v>
      </c>
      <c r="F56" s="38">
        <v>25833</v>
      </c>
      <c r="G56" s="38">
        <v>29888</v>
      </c>
      <c r="H56" s="39">
        <v>2298</v>
      </c>
    </row>
    <row r="57" spans="1:8" ht="19.95" customHeight="1" x14ac:dyDescent="0.3">
      <c r="A57" s="36" t="s">
        <v>123</v>
      </c>
      <c r="B57" s="37" t="s">
        <v>31</v>
      </c>
      <c r="C57" s="37" t="s">
        <v>41</v>
      </c>
      <c r="D57" s="37" t="s">
        <v>73</v>
      </c>
      <c r="E57" s="38">
        <v>96078</v>
      </c>
      <c r="F57" s="38">
        <v>0</v>
      </c>
      <c r="G57" s="38">
        <v>0</v>
      </c>
      <c r="H57" s="39">
        <v>0</v>
      </c>
    </row>
    <row r="58" spans="1:8" ht="19.95" customHeight="1" x14ac:dyDescent="0.3">
      <c r="A58" s="36" t="s">
        <v>124</v>
      </c>
      <c r="B58" s="37" t="s">
        <v>44</v>
      </c>
      <c r="C58" s="37" t="s">
        <v>22</v>
      </c>
      <c r="D58" s="37" t="s">
        <v>96</v>
      </c>
      <c r="E58" s="38">
        <v>113362</v>
      </c>
      <c r="F58" s="38">
        <v>0</v>
      </c>
      <c r="G58" s="38">
        <v>0</v>
      </c>
      <c r="H58" s="39">
        <v>0</v>
      </c>
    </row>
    <row r="59" spans="1:8" ht="19.95" customHeight="1" x14ac:dyDescent="0.3">
      <c r="A59" s="36" t="s">
        <v>125</v>
      </c>
      <c r="B59" s="37" t="s">
        <v>25</v>
      </c>
      <c r="C59" s="37" t="s">
        <v>41</v>
      </c>
      <c r="D59" s="37" t="s">
        <v>73</v>
      </c>
      <c r="E59" s="38">
        <v>460474</v>
      </c>
      <c r="F59" s="38">
        <v>0</v>
      </c>
      <c r="G59" s="38">
        <v>0</v>
      </c>
      <c r="H59" s="39">
        <v>0</v>
      </c>
    </row>
    <row r="60" spans="1:8" ht="19.95" customHeight="1" x14ac:dyDescent="0.3">
      <c r="A60" s="36" t="s">
        <v>126</v>
      </c>
      <c r="B60" s="37" t="s">
        <v>44</v>
      </c>
      <c r="C60" s="37" t="s">
        <v>57</v>
      </c>
      <c r="D60" s="37" t="s">
        <v>78</v>
      </c>
      <c r="E60" s="38">
        <v>30</v>
      </c>
      <c r="F60" s="38">
        <v>0</v>
      </c>
      <c r="G60" s="38">
        <v>0</v>
      </c>
      <c r="H60" s="39">
        <v>0</v>
      </c>
    </row>
    <row r="61" spans="1:8" ht="19.95" customHeight="1" x14ac:dyDescent="0.3">
      <c r="A61" s="36" t="s">
        <v>127</v>
      </c>
      <c r="B61" s="37" t="s">
        <v>31</v>
      </c>
      <c r="C61" s="37" t="s">
        <v>41</v>
      </c>
      <c r="D61" s="37" t="s">
        <v>116</v>
      </c>
      <c r="E61" s="38">
        <v>104429</v>
      </c>
      <c r="F61" s="38">
        <v>0</v>
      </c>
      <c r="G61" s="38">
        <v>0</v>
      </c>
      <c r="H61" s="39">
        <v>0</v>
      </c>
    </row>
    <row r="62" spans="1:8" ht="19.95" customHeight="1" x14ac:dyDescent="0.3">
      <c r="A62" s="36" t="s">
        <v>128</v>
      </c>
      <c r="B62" s="37" t="s">
        <v>31</v>
      </c>
      <c r="C62" s="37" t="s">
        <v>22</v>
      </c>
      <c r="D62" s="37" t="s">
        <v>84</v>
      </c>
      <c r="E62" s="38">
        <v>579825</v>
      </c>
      <c r="F62" s="38">
        <v>0</v>
      </c>
      <c r="G62" s="38">
        <v>0</v>
      </c>
      <c r="H62" s="39">
        <v>0</v>
      </c>
    </row>
    <row r="63" spans="1:8" ht="19.95" customHeight="1" x14ac:dyDescent="0.3">
      <c r="A63" s="36" t="s">
        <v>129</v>
      </c>
      <c r="B63" s="37" t="s">
        <v>31</v>
      </c>
      <c r="C63" s="37" t="s">
        <v>26</v>
      </c>
      <c r="D63" s="37" t="s">
        <v>32</v>
      </c>
      <c r="E63" s="38">
        <v>3822759</v>
      </c>
      <c r="F63" s="38">
        <v>0</v>
      </c>
      <c r="G63" s="38">
        <v>0</v>
      </c>
      <c r="H63" s="39">
        <v>0</v>
      </c>
    </row>
    <row r="64" spans="1:8" ht="19.95" customHeight="1" x14ac:dyDescent="0.3">
      <c r="A64" s="36" t="s">
        <v>130</v>
      </c>
      <c r="B64" s="37" t="s">
        <v>131</v>
      </c>
      <c r="C64" s="37" t="s">
        <v>57</v>
      </c>
      <c r="D64" s="37" t="s">
        <v>58</v>
      </c>
      <c r="E64" s="38">
        <v>380681</v>
      </c>
      <c r="F64" s="38">
        <v>9209</v>
      </c>
      <c r="G64" s="38">
        <v>465</v>
      </c>
      <c r="H64" s="39">
        <v>687</v>
      </c>
    </row>
    <row r="65" spans="1:8" ht="19.95" customHeight="1" x14ac:dyDescent="0.3">
      <c r="A65" s="36" t="s">
        <v>132</v>
      </c>
      <c r="B65" s="37" t="s">
        <v>31</v>
      </c>
      <c r="C65" s="37" t="s">
        <v>41</v>
      </c>
      <c r="D65" s="37" t="s">
        <v>65</v>
      </c>
      <c r="E65" s="38">
        <v>722834</v>
      </c>
      <c r="F65" s="38">
        <v>2240</v>
      </c>
      <c r="G65" s="38">
        <v>5473</v>
      </c>
      <c r="H65" s="39">
        <v>0</v>
      </c>
    </row>
    <row r="66" spans="1:8" ht="19.95" customHeight="1" x14ac:dyDescent="0.3">
      <c r="A66" s="36" t="s">
        <v>133</v>
      </c>
      <c r="B66" s="37" t="s">
        <v>31</v>
      </c>
      <c r="C66" s="37" t="s">
        <v>86</v>
      </c>
      <c r="D66" s="37" t="s">
        <v>110</v>
      </c>
      <c r="E66" s="38">
        <v>26641</v>
      </c>
      <c r="F66" s="38">
        <v>0</v>
      </c>
      <c r="G66" s="38">
        <v>0</v>
      </c>
      <c r="H66" s="39">
        <v>0</v>
      </c>
    </row>
    <row r="67" spans="1:8" ht="19.95" customHeight="1" x14ac:dyDescent="0.3">
      <c r="A67" s="36" t="s">
        <v>134</v>
      </c>
      <c r="B67" s="37" t="s">
        <v>21</v>
      </c>
      <c r="C67" s="37" t="s">
        <v>41</v>
      </c>
      <c r="D67" s="37" t="s">
        <v>73</v>
      </c>
      <c r="E67" s="38">
        <v>37840</v>
      </c>
      <c r="F67" s="38">
        <v>9146</v>
      </c>
      <c r="G67" s="38">
        <v>7686</v>
      </c>
      <c r="H67" s="39">
        <v>0</v>
      </c>
    </row>
    <row r="68" spans="1:8" ht="19.95" customHeight="1" x14ac:dyDescent="0.3">
      <c r="A68" s="36" t="s">
        <v>135</v>
      </c>
      <c r="B68" s="37" t="s">
        <v>67</v>
      </c>
      <c r="C68" s="37" t="s">
        <v>41</v>
      </c>
      <c r="D68" s="37" t="s">
        <v>42</v>
      </c>
      <c r="E68" s="38">
        <v>6627</v>
      </c>
      <c r="F68" s="38">
        <v>0</v>
      </c>
      <c r="G68" s="38">
        <v>0</v>
      </c>
      <c r="H68" s="39">
        <v>0</v>
      </c>
    </row>
    <row r="69" spans="1:8" ht="19.95" customHeight="1" x14ac:dyDescent="0.3">
      <c r="A69" s="36" t="s">
        <v>136</v>
      </c>
      <c r="B69" s="37" t="s">
        <v>25</v>
      </c>
      <c r="C69" s="37" t="s">
        <v>86</v>
      </c>
      <c r="D69" s="37" t="s">
        <v>110</v>
      </c>
      <c r="E69" s="38">
        <v>262581</v>
      </c>
      <c r="F69" s="38">
        <v>0</v>
      </c>
      <c r="G69" s="38">
        <v>0</v>
      </c>
      <c r="H69" s="39">
        <v>53974</v>
      </c>
    </row>
    <row r="70" spans="1:8" ht="19.95" customHeight="1" x14ac:dyDescent="0.3">
      <c r="A70" s="36" t="s">
        <v>137</v>
      </c>
      <c r="B70" s="37" t="s">
        <v>44</v>
      </c>
      <c r="C70" s="37" t="s">
        <v>22</v>
      </c>
      <c r="D70" s="37" t="s">
        <v>138</v>
      </c>
      <c r="E70" s="38">
        <v>30903</v>
      </c>
      <c r="F70" s="38">
        <v>0</v>
      </c>
      <c r="G70" s="38">
        <v>0</v>
      </c>
      <c r="H70" s="39">
        <v>0</v>
      </c>
    </row>
    <row r="71" spans="1:8" ht="19.95" customHeight="1" x14ac:dyDescent="0.3">
      <c r="A71" s="36" t="s">
        <v>139</v>
      </c>
      <c r="B71" s="37" t="s">
        <v>31</v>
      </c>
      <c r="C71" s="37" t="s">
        <v>34</v>
      </c>
      <c r="D71" s="37" t="s">
        <v>140</v>
      </c>
      <c r="E71" s="38">
        <v>4716</v>
      </c>
      <c r="F71" s="38">
        <v>0</v>
      </c>
      <c r="G71" s="38">
        <v>0</v>
      </c>
      <c r="H71" s="39">
        <v>0</v>
      </c>
    </row>
    <row r="72" spans="1:8" ht="19.95" customHeight="1" x14ac:dyDescent="0.3">
      <c r="A72" s="36" t="s">
        <v>141</v>
      </c>
      <c r="B72" s="37" t="s">
        <v>49</v>
      </c>
      <c r="C72" s="37" t="s">
        <v>22</v>
      </c>
      <c r="D72" s="37" t="s">
        <v>51</v>
      </c>
      <c r="E72" s="38">
        <v>2940804</v>
      </c>
      <c r="F72" s="38">
        <v>0</v>
      </c>
      <c r="G72" s="38">
        <v>0</v>
      </c>
      <c r="H72" s="39">
        <v>0</v>
      </c>
    </row>
    <row r="73" spans="1:8" ht="19.95" customHeight="1" x14ac:dyDescent="0.3">
      <c r="A73" s="36" t="s">
        <v>142</v>
      </c>
      <c r="B73" s="37" t="s">
        <v>21</v>
      </c>
      <c r="C73" s="37" t="s">
        <v>57</v>
      </c>
      <c r="D73" s="37" t="s">
        <v>58</v>
      </c>
      <c r="E73" s="38">
        <v>4421276</v>
      </c>
      <c r="F73" s="38">
        <v>15605</v>
      </c>
      <c r="G73" s="38">
        <v>1273</v>
      </c>
      <c r="H73" s="39">
        <v>0</v>
      </c>
    </row>
    <row r="74" spans="1:8" ht="19.95" customHeight="1" x14ac:dyDescent="0.3">
      <c r="A74" s="36" t="s">
        <v>143</v>
      </c>
      <c r="B74" s="37" t="s">
        <v>144</v>
      </c>
      <c r="C74" s="37" t="s">
        <v>22</v>
      </c>
      <c r="D74" s="37" t="s">
        <v>51</v>
      </c>
      <c r="E74" s="38">
        <v>1003081</v>
      </c>
      <c r="F74" s="38">
        <v>0</v>
      </c>
      <c r="G74" s="38">
        <v>0</v>
      </c>
      <c r="H74" s="39">
        <v>0</v>
      </c>
    </row>
    <row r="75" spans="1:8" ht="19.95" customHeight="1" x14ac:dyDescent="0.3">
      <c r="A75" s="36" t="s">
        <v>145</v>
      </c>
      <c r="B75" s="37" t="s">
        <v>49</v>
      </c>
      <c r="C75" s="37" t="s">
        <v>41</v>
      </c>
      <c r="D75" s="37" t="s">
        <v>146</v>
      </c>
      <c r="E75" s="38">
        <v>1670498</v>
      </c>
      <c r="F75" s="38">
        <v>31708</v>
      </c>
      <c r="G75" s="38">
        <v>23591</v>
      </c>
      <c r="H75" s="39">
        <v>0</v>
      </c>
    </row>
    <row r="76" spans="1:8" ht="19.95" customHeight="1" x14ac:dyDescent="0.3">
      <c r="A76" s="36" t="s">
        <v>147</v>
      </c>
      <c r="B76" s="37" t="s">
        <v>31</v>
      </c>
      <c r="C76" s="37" t="s">
        <v>41</v>
      </c>
      <c r="D76" s="37" t="s">
        <v>116</v>
      </c>
      <c r="E76" s="38">
        <v>71390</v>
      </c>
      <c r="F76" s="38">
        <v>8835</v>
      </c>
      <c r="G76" s="38">
        <v>4978</v>
      </c>
      <c r="H76" s="39">
        <v>0</v>
      </c>
    </row>
    <row r="77" spans="1:8" ht="19.95" customHeight="1" x14ac:dyDescent="0.3">
      <c r="A77" s="36" t="s">
        <v>148</v>
      </c>
      <c r="B77" s="37" t="s">
        <v>44</v>
      </c>
      <c r="C77" s="37" t="s">
        <v>22</v>
      </c>
      <c r="D77" s="37" t="s">
        <v>107</v>
      </c>
      <c r="E77" s="38">
        <v>124539</v>
      </c>
      <c r="F77" s="38">
        <v>0</v>
      </c>
      <c r="G77" s="38">
        <v>0</v>
      </c>
      <c r="H77" s="39">
        <v>0</v>
      </c>
    </row>
    <row r="78" spans="1:8" ht="19.95" customHeight="1" x14ac:dyDescent="0.3">
      <c r="A78" s="36" t="s">
        <v>149</v>
      </c>
      <c r="B78" s="37" t="s">
        <v>150</v>
      </c>
      <c r="C78" s="37" t="s">
        <v>86</v>
      </c>
      <c r="D78" s="37" t="s">
        <v>151</v>
      </c>
      <c r="E78" s="38">
        <v>89949</v>
      </c>
      <c r="F78" s="38">
        <v>0</v>
      </c>
      <c r="G78" s="38">
        <v>0</v>
      </c>
      <c r="H78" s="39">
        <v>53</v>
      </c>
    </row>
    <row r="79" spans="1:8" ht="19.95" customHeight="1" x14ac:dyDescent="0.3">
      <c r="A79" s="36" t="s">
        <v>152</v>
      </c>
      <c r="B79" s="37" t="s">
        <v>44</v>
      </c>
      <c r="C79" s="37" t="s">
        <v>57</v>
      </c>
      <c r="D79" s="37" t="s">
        <v>58</v>
      </c>
      <c r="E79" s="38">
        <v>13334</v>
      </c>
      <c r="F79" s="38">
        <v>0</v>
      </c>
      <c r="G79" s="38">
        <v>0</v>
      </c>
      <c r="H79" s="39">
        <v>0</v>
      </c>
    </row>
    <row r="80" spans="1:8" ht="19.95" customHeight="1" x14ac:dyDescent="0.3">
      <c r="A80" s="36" t="s">
        <v>153</v>
      </c>
      <c r="B80" s="37" t="s">
        <v>21</v>
      </c>
      <c r="C80" s="37" t="s">
        <v>26</v>
      </c>
      <c r="D80" s="37" t="s">
        <v>63</v>
      </c>
      <c r="E80" s="38">
        <v>2551228</v>
      </c>
      <c r="F80" s="38">
        <v>0</v>
      </c>
      <c r="G80" s="38">
        <v>0</v>
      </c>
      <c r="H80" s="39">
        <v>0</v>
      </c>
    </row>
    <row r="81" spans="1:8" ht="19.95" customHeight="1" x14ac:dyDescent="0.3">
      <c r="A81" s="36" t="s">
        <v>154</v>
      </c>
      <c r="B81" s="37" t="s">
        <v>31</v>
      </c>
      <c r="C81" s="37" t="s">
        <v>41</v>
      </c>
      <c r="D81" s="37" t="s">
        <v>47</v>
      </c>
      <c r="E81" s="38">
        <v>488038</v>
      </c>
      <c r="F81" s="38">
        <v>13775</v>
      </c>
      <c r="G81" s="38">
        <v>13635</v>
      </c>
      <c r="H81" s="39">
        <v>107</v>
      </c>
    </row>
    <row r="82" spans="1:8" ht="19.95" customHeight="1" x14ac:dyDescent="0.3">
      <c r="A82" s="36" t="s">
        <v>155</v>
      </c>
      <c r="B82" s="37" t="s">
        <v>25</v>
      </c>
      <c r="C82" s="37" t="s">
        <v>22</v>
      </c>
      <c r="D82" s="37" t="s">
        <v>138</v>
      </c>
      <c r="E82" s="38">
        <v>242049</v>
      </c>
      <c r="F82" s="38">
        <v>7915</v>
      </c>
      <c r="G82" s="38">
        <v>0</v>
      </c>
      <c r="H82" s="39">
        <v>745</v>
      </c>
    </row>
    <row r="83" spans="1:8" ht="19.95" customHeight="1" x14ac:dyDescent="0.3">
      <c r="A83" s="36" t="s">
        <v>156</v>
      </c>
      <c r="B83" s="37" t="s">
        <v>67</v>
      </c>
      <c r="C83" s="37" t="s">
        <v>41</v>
      </c>
      <c r="D83" s="37" t="s">
        <v>116</v>
      </c>
      <c r="E83" s="38">
        <v>164426</v>
      </c>
      <c r="F83" s="38">
        <v>0</v>
      </c>
      <c r="G83" s="38">
        <v>0</v>
      </c>
      <c r="H83" s="39">
        <v>0</v>
      </c>
    </row>
    <row r="84" spans="1:8" ht="19.95" customHeight="1" x14ac:dyDescent="0.3">
      <c r="A84" s="36" t="s">
        <v>157</v>
      </c>
      <c r="B84" s="37" t="s">
        <v>56</v>
      </c>
      <c r="C84" s="37" t="s">
        <v>22</v>
      </c>
      <c r="D84" s="37" t="s">
        <v>138</v>
      </c>
      <c r="E84" s="38">
        <v>156287</v>
      </c>
      <c r="F84" s="38">
        <v>0</v>
      </c>
      <c r="G84" s="38">
        <v>0</v>
      </c>
      <c r="H84" s="39">
        <v>0</v>
      </c>
    </row>
    <row r="85" spans="1:8" ht="19.95" customHeight="1" x14ac:dyDescent="0.3">
      <c r="A85" s="36" t="s">
        <v>158</v>
      </c>
      <c r="B85" s="37" t="s">
        <v>25</v>
      </c>
      <c r="C85" s="37" t="s">
        <v>86</v>
      </c>
      <c r="D85" s="37" t="s">
        <v>159</v>
      </c>
      <c r="E85" s="38">
        <v>504942</v>
      </c>
      <c r="F85" s="38">
        <v>0</v>
      </c>
      <c r="G85" s="38">
        <v>0</v>
      </c>
      <c r="H85" s="39">
        <v>1234</v>
      </c>
    </row>
    <row r="86" spans="1:8" ht="19.95" customHeight="1" x14ac:dyDescent="0.3">
      <c r="A86" s="36" t="s">
        <v>160</v>
      </c>
      <c r="B86" s="37" t="s">
        <v>31</v>
      </c>
      <c r="C86" s="37" t="s">
        <v>86</v>
      </c>
      <c r="D86" s="37" t="s">
        <v>151</v>
      </c>
      <c r="E86" s="38">
        <v>314118</v>
      </c>
      <c r="F86" s="38">
        <v>4057</v>
      </c>
      <c r="G86" s="38">
        <v>13652</v>
      </c>
      <c r="H86" s="39">
        <v>155</v>
      </c>
    </row>
    <row r="87" spans="1:8" ht="19.95" customHeight="1" x14ac:dyDescent="0.3">
      <c r="A87" s="36" t="s">
        <v>161</v>
      </c>
      <c r="B87" s="37" t="s">
        <v>21</v>
      </c>
      <c r="C87" s="37" t="s">
        <v>22</v>
      </c>
      <c r="D87" s="37" t="s">
        <v>23</v>
      </c>
      <c r="E87" s="38">
        <v>729249</v>
      </c>
      <c r="F87" s="38">
        <v>6789</v>
      </c>
      <c r="G87" s="38">
        <v>19748</v>
      </c>
      <c r="H87" s="39">
        <v>569</v>
      </c>
    </row>
    <row r="88" spans="1:8" ht="19.95" customHeight="1" x14ac:dyDescent="0.3">
      <c r="A88" s="36" t="s">
        <v>162</v>
      </c>
      <c r="B88" s="37" t="s">
        <v>71</v>
      </c>
      <c r="C88" s="37" t="s">
        <v>22</v>
      </c>
      <c r="D88" s="37" t="s">
        <v>51</v>
      </c>
      <c r="E88" s="38">
        <v>64706</v>
      </c>
      <c r="F88" s="38">
        <v>16559</v>
      </c>
      <c r="G88" s="38">
        <v>0</v>
      </c>
      <c r="H88" s="39">
        <v>2520</v>
      </c>
    </row>
    <row r="89" spans="1:8" ht="19.95" customHeight="1" x14ac:dyDescent="0.3">
      <c r="A89" s="36" t="s">
        <v>163</v>
      </c>
      <c r="B89" s="37" t="s">
        <v>49</v>
      </c>
      <c r="C89" s="37" t="s">
        <v>41</v>
      </c>
      <c r="D89" s="37" t="s">
        <v>47</v>
      </c>
      <c r="E89" s="38">
        <v>980899</v>
      </c>
      <c r="F89" s="38">
        <v>16000</v>
      </c>
      <c r="G89" s="38">
        <v>36992</v>
      </c>
      <c r="H89" s="39">
        <v>375</v>
      </c>
    </row>
    <row r="90" spans="1:8" ht="19.95" customHeight="1" x14ac:dyDescent="0.3">
      <c r="A90" s="36" t="s">
        <v>164</v>
      </c>
      <c r="B90" s="37" t="s">
        <v>25</v>
      </c>
      <c r="C90" s="37" t="s">
        <v>34</v>
      </c>
      <c r="D90" s="37" t="s">
        <v>140</v>
      </c>
      <c r="E90" s="38">
        <v>2912454</v>
      </c>
      <c r="F90" s="38">
        <v>0</v>
      </c>
      <c r="G90" s="38">
        <v>0</v>
      </c>
      <c r="H90" s="39">
        <v>0</v>
      </c>
    </row>
    <row r="91" spans="1:8" ht="19.95" customHeight="1" x14ac:dyDescent="0.3">
      <c r="A91" s="36" t="s">
        <v>165</v>
      </c>
      <c r="B91" s="37" t="s">
        <v>21</v>
      </c>
      <c r="C91" s="37" t="s">
        <v>34</v>
      </c>
      <c r="D91" s="37" t="s">
        <v>140</v>
      </c>
      <c r="E91" s="38">
        <v>87032</v>
      </c>
      <c r="F91" s="38">
        <v>0</v>
      </c>
      <c r="G91" s="38">
        <v>0</v>
      </c>
      <c r="H91" s="39">
        <v>0</v>
      </c>
    </row>
    <row r="92" spans="1:8" ht="19.95" customHeight="1" x14ac:dyDescent="0.3">
      <c r="A92" s="36" t="s">
        <v>166</v>
      </c>
      <c r="B92" s="37" t="s">
        <v>67</v>
      </c>
      <c r="C92" s="37" t="s">
        <v>22</v>
      </c>
      <c r="D92" s="37" t="s">
        <v>84</v>
      </c>
      <c r="E92" s="38">
        <v>155016</v>
      </c>
      <c r="F92" s="38">
        <v>0</v>
      </c>
      <c r="G92" s="38">
        <v>0</v>
      </c>
      <c r="H92" s="39">
        <v>0</v>
      </c>
    </row>
    <row r="93" spans="1:8" ht="19.95" customHeight="1" x14ac:dyDescent="0.3">
      <c r="A93" s="36" t="s">
        <v>167</v>
      </c>
      <c r="B93" s="37" t="s">
        <v>25</v>
      </c>
      <c r="C93" s="37" t="s">
        <v>86</v>
      </c>
      <c r="D93" s="37" t="s">
        <v>110</v>
      </c>
      <c r="E93" s="38">
        <v>1440484</v>
      </c>
      <c r="F93" s="38">
        <v>82598</v>
      </c>
      <c r="G93" s="38">
        <v>87760</v>
      </c>
      <c r="H93" s="39">
        <v>8856</v>
      </c>
    </row>
    <row r="94" spans="1:8" ht="19.95" customHeight="1" x14ac:dyDescent="0.3">
      <c r="A94" s="36" t="s">
        <v>168</v>
      </c>
      <c r="B94" s="37" t="s">
        <v>49</v>
      </c>
      <c r="C94" s="37" t="s">
        <v>26</v>
      </c>
      <c r="D94" s="37" t="s">
        <v>45</v>
      </c>
      <c r="E94" s="38">
        <v>4079763</v>
      </c>
      <c r="F94" s="38">
        <v>0</v>
      </c>
      <c r="G94" s="38">
        <v>0</v>
      </c>
      <c r="H94" s="39">
        <v>12041</v>
      </c>
    </row>
    <row r="95" spans="1:8" ht="19.95" customHeight="1" x14ac:dyDescent="0.3">
      <c r="A95" s="36" t="s">
        <v>169</v>
      </c>
      <c r="B95" s="37" t="s">
        <v>25</v>
      </c>
      <c r="C95" s="37" t="s">
        <v>38</v>
      </c>
      <c r="D95" s="37" t="s">
        <v>39</v>
      </c>
      <c r="E95" s="38">
        <v>466227</v>
      </c>
      <c r="F95" s="38">
        <v>0</v>
      </c>
      <c r="G95" s="38">
        <v>0</v>
      </c>
      <c r="H95" s="39">
        <v>29405</v>
      </c>
    </row>
    <row r="96" spans="1:8" ht="19.95" customHeight="1" x14ac:dyDescent="0.3">
      <c r="A96" s="36" t="s">
        <v>170</v>
      </c>
      <c r="B96" s="37" t="s">
        <v>31</v>
      </c>
      <c r="C96" s="37" t="s">
        <v>86</v>
      </c>
      <c r="D96" s="37" t="s">
        <v>110</v>
      </c>
      <c r="E96" s="38">
        <v>94215</v>
      </c>
      <c r="F96" s="38">
        <v>0</v>
      </c>
      <c r="G96" s="38">
        <v>0</v>
      </c>
      <c r="H96" s="39">
        <v>0</v>
      </c>
    </row>
    <row r="97" spans="1:8" ht="19.95" customHeight="1" x14ac:dyDescent="0.3">
      <c r="A97" s="36" t="s">
        <v>171</v>
      </c>
      <c r="B97" s="37" t="s">
        <v>31</v>
      </c>
      <c r="C97" s="37" t="s">
        <v>41</v>
      </c>
      <c r="D97" s="37" t="s">
        <v>172</v>
      </c>
      <c r="E97" s="38">
        <v>540890</v>
      </c>
      <c r="F97" s="38">
        <v>2260</v>
      </c>
      <c r="G97" s="38">
        <v>5950</v>
      </c>
      <c r="H97" s="39">
        <v>0</v>
      </c>
    </row>
    <row r="98" spans="1:8" ht="19.95" customHeight="1" x14ac:dyDescent="0.3">
      <c r="A98" s="36" t="s">
        <v>173</v>
      </c>
      <c r="B98" s="37" t="s">
        <v>31</v>
      </c>
      <c r="C98" s="37" t="s">
        <v>41</v>
      </c>
      <c r="D98" s="37" t="s">
        <v>47</v>
      </c>
      <c r="E98" s="38">
        <v>322113</v>
      </c>
      <c r="F98" s="38">
        <v>20735</v>
      </c>
      <c r="G98" s="38">
        <v>16251</v>
      </c>
      <c r="H98" s="39">
        <v>32371</v>
      </c>
    </row>
    <row r="99" spans="1:8" ht="19.95" customHeight="1" x14ac:dyDescent="0.3">
      <c r="A99" s="36" t="s">
        <v>174</v>
      </c>
      <c r="B99" s="37" t="s">
        <v>25</v>
      </c>
      <c r="C99" s="37" t="s">
        <v>22</v>
      </c>
      <c r="D99" s="37" t="s">
        <v>84</v>
      </c>
      <c r="E99" s="38">
        <v>84873</v>
      </c>
      <c r="F99" s="38">
        <v>5536</v>
      </c>
      <c r="G99" s="38">
        <v>0</v>
      </c>
      <c r="H99" s="39">
        <v>0</v>
      </c>
    </row>
    <row r="100" spans="1:8" ht="19.95" customHeight="1" x14ac:dyDescent="0.3">
      <c r="A100" s="36" t="s">
        <v>175</v>
      </c>
      <c r="B100" s="37" t="s">
        <v>67</v>
      </c>
      <c r="C100" s="37" t="s">
        <v>57</v>
      </c>
      <c r="D100" s="37" t="s">
        <v>78</v>
      </c>
      <c r="E100" s="38">
        <v>731476</v>
      </c>
      <c r="F100" s="38">
        <v>0</v>
      </c>
      <c r="G100" s="38">
        <v>0</v>
      </c>
      <c r="H100" s="39">
        <v>0</v>
      </c>
    </row>
    <row r="101" spans="1:8" ht="19.95" customHeight="1" x14ac:dyDescent="0.3">
      <c r="A101" s="36" t="s">
        <v>176</v>
      </c>
      <c r="B101" s="37" t="s">
        <v>44</v>
      </c>
      <c r="C101" s="37" t="s">
        <v>26</v>
      </c>
      <c r="D101" s="37" t="s">
        <v>45</v>
      </c>
      <c r="E101" s="38">
        <v>8131</v>
      </c>
      <c r="F101" s="38">
        <v>0</v>
      </c>
      <c r="G101" s="38">
        <v>0</v>
      </c>
      <c r="H101" s="39">
        <v>0</v>
      </c>
    </row>
    <row r="102" spans="1:8" ht="19.95" customHeight="1" x14ac:dyDescent="0.3">
      <c r="A102" s="36" t="s">
        <v>177</v>
      </c>
      <c r="B102" s="37" t="s">
        <v>31</v>
      </c>
      <c r="C102" s="37" t="s">
        <v>34</v>
      </c>
      <c r="D102" s="37" t="s">
        <v>178</v>
      </c>
      <c r="E102" s="38">
        <v>61975</v>
      </c>
      <c r="F102" s="38">
        <v>0</v>
      </c>
      <c r="G102" s="38">
        <v>0</v>
      </c>
      <c r="H102" s="39">
        <v>0</v>
      </c>
    </row>
    <row r="103" spans="1:8" ht="19.95" customHeight="1" x14ac:dyDescent="0.3">
      <c r="A103" s="36" t="s">
        <v>179</v>
      </c>
      <c r="B103" s="37" t="s">
        <v>44</v>
      </c>
      <c r="C103" s="37" t="s">
        <v>26</v>
      </c>
      <c r="D103" s="37" t="s">
        <v>45</v>
      </c>
      <c r="E103" s="38">
        <v>123466</v>
      </c>
      <c r="F103" s="38">
        <v>0</v>
      </c>
      <c r="G103" s="38">
        <v>0</v>
      </c>
      <c r="H103" s="39">
        <v>0</v>
      </c>
    </row>
    <row r="104" spans="1:8" ht="19.95" customHeight="1" x14ac:dyDescent="0.3">
      <c r="A104" s="36" t="s">
        <v>180</v>
      </c>
      <c r="B104" s="37" t="s">
        <v>31</v>
      </c>
      <c r="C104" s="37" t="s">
        <v>41</v>
      </c>
      <c r="D104" s="37" t="s">
        <v>73</v>
      </c>
      <c r="E104" s="38">
        <v>163679</v>
      </c>
      <c r="F104" s="38">
        <v>0</v>
      </c>
      <c r="G104" s="38">
        <v>0</v>
      </c>
      <c r="H104" s="39">
        <v>0</v>
      </c>
    </row>
    <row r="105" spans="1:8" ht="19.95" customHeight="1" x14ac:dyDescent="0.3">
      <c r="A105" s="36" t="s">
        <v>181</v>
      </c>
      <c r="B105" s="37" t="s">
        <v>31</v>
      </c>
      <c r="C105" s="37" t="s">
        <v>41</v>
      </c>
      <c r="D105" s="37" t="s">
        <v>73</v>
      </c>
      <c r="E105" s="38">
        <v>57827</v>
      </c>
      <c r="F105" s="38">
        <v>915</v>
      </c>
      <c r="G105" s="38">
        <v>1561</v>
      </c>
      <c r="H105" s="39">
        <v>0</v>
      </c>
    </row>
    <row r="106" spans="1:8" ht="19.95" customHeight="1" x14ac:dyDescent="0.3">
      <c r="A106" s="36" t="s">
        <v>182</v>
      </c>
      <c r="B106" s="37" t="s">
        <v>44</v>
      </c>
      <c r="C106" s="37" t="s">
        <v>26</v>
      </c>
      <c r="D106" s="37" t="s">
        <v>32</v>
      </c>
      <c r="E106" s="38">
        <v>23699</v>
      </c>
      <c r="F106" s="38">
        <v>0</v>
      </c>
      <c r="G106" s="38">
        <v>0</v>
      </c>
      <c r="H106" s="39">
        <v>0</v>
      </c>
    </row>
    <row r="107" spans="1:8" ht="19.95" customHeight="1" x14ac:dyDescent="0.3">
      <c r="A107" s="36" t="s">
        <v>183</v>
      </c>
      <c r="B107" s="37" t="s">
        <v>31</v>
      </c>
      <c r="C107" s="37" t="s">
        <v>22</v>
      </c>
      <c r="D107" s="37" t="s">
        <v>184</v>
      </c>
      <c r="E107" s="38">
        <v>3513</v>
      </c>
      <c r="F107" s="38">
        <v>0</v>
      </c>
      <c r="G107" s="38">
        <v>0</v>
      </c>
      <c r="H107" s="39">
        <v>0</v>
      </c>
    </row>
    <row r="108" spans="1:8" ht="19.95" customHeight="1" x14ac:dyDescent="0.3">
      <c r="A108" s="36" t="s">
        <v>185</v>
      </c>
      <c r="B108" s="37" t="s">
        <v>44</v>
      </c>
      <c r="C108" s="37" t="s">
        <v>86</v>
      </c>
      <c r="D108" s="37" t="s">
        <v>110</v>
      </c>
      <c r="E108" s="38">
        <v>17653</v>
      </c>
      <c r="F108" s="38">
        <v>0</v>
      </c>
      <c r="G108" s="38">
        <v>0</v>
      </c>
      <c r="H108" s="39">
        <v>0</v>
      </c>
    </row>
    <row r="109" spans="1:8" ht="19.95" customHeight="1" x14ac:dyDescent="0.3">
      <c r="A109" s="36" t="s">
        <v>186</v>
      </c>
      <c r="B109" s="37" t="s">
        <v>25</v>
      </c>
      <c r="C109" s="37" t="s">
        <v>22</v>
      </c>
      <c r="D109" s="37" t="s">
        <v>84</v>
      </c>
      <c r="E109" s="38">
        <v>741983</v>
      </c>
      <c r="F109" s="38">
        <v>0</v>
      </c>
      <c r="G109" s="38">
        <v>0</v>
      </c>
      <c r="H109" s="39">
        <v>16367</v>
      </c>
    </row>
    <row r="110" spans="1:8" ht="19.95" customHeight="1" x14ac:dyDescent="0.3">
      <c r="A110" s="36" t="s">
        <v>187</v>
      </c>
      <c r="B110" s="37" t="s">
        <v>67</v>
      </c>
      <c r="C110" s="37" t="s">
        <v>26</v>
      </c>
      <c r="D110" s="37" t="s">
        <v>32</v>
      </c>
      <c r="E110" s="38">
        <v>63314</v>
      </c>
      <c r="F110" s="38">
        <v>0</v>
      </c>
      <c r="G110" s="38">
        <v>0</v>
      </c>
      <c r="H110" s="39">
        <v>0</v>
      </c>
    </row>
    <row r="111" spans="1:8" ht="19.95" customHeight="1" x14ac:dyDescent="0.3">
      <c r="A111" s="36" t="s">
        <v>188</v>
      </c>
      <c r="B111" s="37" t="s">
        <v>71</v>
      </c>
      <c r="C111" s="37" t="s">
        <v>26</v>
      </c>
      <c r="D111" s="37" t="s">
        <v>32</v>
      </c>
      <c r="E111" s="38">
        <v>303731</v>
      </c>
      <c r="F111" s="38">
        <v>0</v>
      </c>
      <c r="G111" s="38">
        <v>0</v>
      </c>
      <c r="H111" s="39">
        <v>2739</v>
      </c>
    </row>
    <row r="112" spans="1:8" ht="19.95" customHeight="1" x14ac:dyDescent="0.3">
      <c r="A112" s="36" t="s">
        <v>189</v>
      </c>
      <c r="B112" s="37" t="s">
        <v>44</v>
      </c>
      <c r="C112" s="37" t="s">
        <v>34</v>
      </c>
      <c r="D112" s="37" t="s">
        <v>140</v>
      </c>
      <c r="E112" s="38">
        <v>12642</v>
      </c>
      <c r="F112" s="38">
        <v>0</v>
      </c>
      <c r="G112" s="38">
        <v>0</v>
      </c>
      <c r="H112" s="39">
        <v>0</v>
      </c>
    </row>
    <row r="113" spans="1:8" ht="19.95" customHeight="1" x14ac:dyDescent="0.3">
      <c r="A113" s="36" t="s">
        <v>190</v>
      </c>
      <c r="B113" s="37" t="s">
        <v>21</v>
      </c>
      <c r="C113" s="37" t="s">
        <v>26</v>
      </c>
      <c r="D113" s="37" t="s">
        <v>191</v>
      </c>
      <c r="E113" s="38">
        <v>208870</v>
      </c>
      <c r="F113" s="38">
        <v>0</v>
      </c>
      <c r="G113" s="38">
        <v>0</v>
      </c>
      <c r="H113" s="39">
        <v>0</v>
      </c>
    </row>
    <row r="114" spans="1:8" ht="19.95" customHeight="1" x14ac:dyDescent="0.3">
      <c r="A114" s="36" t="s">
        <v>192</v>
      </c>
      <c r="B114" s="37" t="s">
        <v>67</v>
      </c>
      <c r="C114" s="37" t="s">
        <v>26</v>
      </c>
      <c r="D114" s="37" t="s">
        <v>45</v>
      </c>
      <c r="E114" s="38">
        <v>349566</v>
      </c>
      <c r="F114" s="38">
        <v>0</v>
      </c>
      <c r="G114" s="38">
        <v>0</v>
      </c>
      <c r="H114" s="39">
        <v>0</v>
      </c>
    </row>
    <row r="115" spans="1:8" ht="19.95" customHeight="1" x14ac:dyDescent="0.3">
      <c r="A115" s="36" t="s">
        <v>193</v>
      </c>
      <c r="B115" s="37" t="s">
        <v>31</v>
      </c>
      <c r="C115" s="37" t="s">
        <v>41</v>
      </c>
      <c r="D115" s="37" t="s">
        <v>47</v>
      </c>
      <c r="E115" s="38">
        <v>71499</v>
      </c>
      <c r="F115" s="38">
        <v>0</v>
      </c>
      <c r="G115" s="38">
        <v>0</v>
      </c>
      <c r="H115" s="39">
        <v>0</v>
      </c>
    </row>
    <row r="116" spans="1:8" ht="19.95" customHeight="1" x14ac:dyDescent="0.3">
      <c r="A116" s="36" t="s">
        <v>194</v>
      </c>
      <c r="B116" s="37" t="s">
        <v>44</v>
      </c>
      <c r="C116" s="37" t="s">
        <v>57</v>
      </c>
      <c r="D116" s="37" t="s">
        <v>78</v>
      </c>
      <c r="E116" s="38">
        <v>457132</v>
      </c>
      <c r="F116" s="38">
        <v>0</v>
      </c>
      <c r="G116" s="38">
        <v>0</v>
      </c>
      <c r="H116" s="39">
        <v>0</v>
      </c>
    </row>
    <row r="117" spans="1:8" ht="19.95" customHeight="1" x14ac:dyDescent="0.3">
      <c r="A117" s="36" t="s">
        <v>195</v>
      </c>
      <c r="B117" s="37" t="s">
        <v>44</v>
      </c>
      <c r="C117" s="37" t="s">
        <v>41</v>
      </c>
      <c r="D117" s="37" t="s">
        <v>116</v>
      </c>
      <c r="E117" s="38">
        <v>8483</v>
      </c>
      <c r="F117" s="38">
        <v>0</v>
      </c>
      <c r="G117" s="38">
        <v>0</v>
      </c>
      <c r="H117" s="39">
        <v>0</v>
      </c>
    </row>
    <row r="118" spans="1:8" ht="19.95" customHeight="1" x14ac:dyDescent="0.3">
      <c r="A118" s="36" t="s">
        <v>196</v>
      </c>
      <c r="B118" s="37" t="s">
        <v>67</v>
      </c>
      <c r="C118" s="37" t="s">
        <v>22</v>
      </c>
      <c r="D118" s="37" t="s">
        <v>84</v>
      </c>
      <c r="E118" s="38">
        <v>260350</v>
      </c>
      <c r="F118" s="38">
        <v>0</v>
      </c>
      <c r="G118" s="38">
        <v>0</v>
      </c>
      <c r="H118" s="39">
        <v>0</v>
      </c>
    </row>
    <row r="119" spans="1:8" ht="19.95" customHeight="1" x14ac:dyDescent="0.3">
      <c r="A119" s="36" t="s">
        <v>197</v>
      </c>
      <c r="B119" s="37" t="s">
        <v>44</v>
      </c>
      <c r="C119" s="37" t="s">
        <v>41</v>
      </c>
      <c r="D119" s="37" t="s">
        <v>42</v>
      </c>
      <c r="E119" s="38">
        <v>42553</v>
      </c>
      <c r="F119" s="38">
        <v>0</v>
      </c>
      <c r="G119" s="38">
        <v>0</v>
      </c>
      <c r="H119" s="39">
        <v>0</v>
      </c>
    </row>
    <row r="120" spans="1:8" ht="19.95" customHeight="1" x14ac:dyDescent="0.3">
      <c r="A120" s="36" t="s">
        <v>198</v>
      </c>
      <c r="B120" s="37" t="s">
        <v>56</v>
      </c>
      <c r="C120" s="37" t="s">
        <v>22</v>
      </c>
      <c r="D120" s="37" t="s">
        <v>53</v>
      </c>
      <c r="E120" s="38">
        <v>166026</v>
      </c>
      <c r="F120" s="38">
        <v>0</v>
      </c>
      <c r="G120" s="38">
        <v>0</v>
      </c>
      <c r="H120" s="39">
        <v>0</v>
      </c>
    </row>
    <row r="121" spans="1:8" ht="19.95" customHeight="1" x14ac:dyDescent="0.3">
      <c r="A121" s="36" t="s">
        <v>199</v>
      </c>
      <c r="B121" s="37" t="s">
        <v>31</v>
      </c>
      <c r="C121" s="37" t="s">
        <v>22</v>
      </c>
      <c r="D121" s="37" t="s">
        <v>51</v>
      </c>
      <c r="E121" s="38">
        <v>243027</v>
      </c>
      <c r="F121" s="38">
        <v>0</v>
      </c>
      <c r="G121" s="38">
        <v>0</v>
      </c>
      <c r="H121" s="39">
        <v>0</v>
      </c>
    </row>
    <row r="122" spans="1:8" ht="19.95" customHeight="1" x14ac:dyDescent="0.3">
      <c r="A122" s="36" t="s">
        <v>200</v>
      </c>
      <c r="B122" s="37" t="s">
        <v>44</v>
      </c>
      <c r="C122" s="37" t="s">
        <v>41</v>
      </c>
      <c r="D122" s="37" t="s">
        <v>172</v>
      </c>
      <c r="E122" s="38">
        <v>44045</v>
      </c>
      <c r="F122" s="38">
        <v>0</v>
      </c>
      <c r="G122" s="38">
        <v>0</v>
      </c>
      <c r="H122" s="39">
        <v>0</v>
      </c>
    </row>
    <row r="123" spans="1:8" ht="19.95" customHeight="1" x14ac:dyDescent="0.3">
      <c r="A123" s="36" t="s">
        <v>201</v>
      </c>
      <c r="B123" s="37" t="s">
        <v>44</v>
      </c>
      <c r="C123" s="37" t="s">
        <v>34</v>
      </c>
      <c r="D123" s="37" t="s">
        <v>104</v>
      </c>
      <c r="E123" s="38">
        <v>26219</v>
      </c>
      <c r="F123" s="38">
        <v>0</v>
      </c>
      <c r="G123" s="38">
        <v>0</v>
      </c>
      <c r="H123" s="39">
        <v>0</v>
      </c>
    </row>
    <row r="124" spans="1:8" ht="19.95" customHeight="1" x14ac:dyDescent="0.3">
      <c r="A124" s="36" t="s">
        <v>202</v>
      </c>
      <c r="B124" s="37" t="s">
        <v>31</v>
      </c>
      <c r="C124" s="37" t="s">
        <v>22</v>
      </c>
      <c r="D124" s="37" t="s">
        <v>84</v>
      </c>
      <c r="E124" s="38">
        <v>680040</v>
      </c>
      <c r="F124" s="38">
        <v>0</v>
      </c>
      <c r="G124" s="38">
        <v>0</v>
      </c>
      <c r="H124" s="39">
        <v>0</v>
      </c>
    </row>
    <row r="125" spans="1:8" ht="19.95" customHeight="1" x14ac:dyDescent="0.3">
      <c r="A125" s="36" t="s">
        <v>203</v>
      </c>
      <c r="B125" s="37" t="s">
        <v>31</v>
      </c>
      <c r="C125" s="37" t="s">
        <v>26</v>
      </c>
      <c r="D125" s="37" t="s">
        <v>58</v>
      </c>
      <c r="E125" s="38">
        <v>394175</v>
      </c>
      <c r="F125" s="38">
        <v>0</v>
      </c>
      <c r="G125" s="38">
        <v>0</v>
      </c>
      <c r="H125" s="39">
        <v>0</v>
      </c>
    </row>
    <row r="126" spans="1:8" ht="19.95" customHeight="1" x14ac:dyDescent="0.3">
      <c r="A126" s="36" t="s">
        <v>204</v>
      </c>
      <c r="B126" s="37" t="s">
        <v>56</v>
      </c>
      <c r="C126" s="37" t="s">
        <v>26</v>
      </c>
      <c r="D126" s="37" t="s">
        <v>45</v>
      </c>
      <c r="E126" s="38">
        <v>276173</v>
      </c>
      <c r="F126" s="38">
        <v>0</v>
      </c>
      <c r="G126" s="38">
        <v>0</v>
      </c>
      <c r="H126" s="39">
        <v>0</v>
      </c>
    </row>
    <row r="127" spans="1:8" ht="19.95" customHeight="1" x14ac:dyDescent="0.3">
      <c r="A127" s="36" t="s">
        <v>205</v>
      </c>
      <c r="B127" s="37" t="s">
        <v>44</v>
      </c>
      <c r="C127" s="37" t="s">
        <v>86</v>
      </c>
      <c r="D127" s="37" t="s">
        <v>110</v>
      </c>
      <c r="E127" s="38">
        <v>1189908</v>
      </c>
      <c r="F127" s="38">
        <v>0</v>
      </c>
      <c r="G127" s="38">
        <v>0</v>
      </c>
      <c r="H127" s="39">
        <v>0</v>
      </c>
    </row>
    <row r="128" spans="1:8" ht="19.95" customHeight="1" x14ac:dyDescent="0.3">
      <c r="A128" s="36" t="s">
        <v>206</v>
      </c>
      <c r="B128" s="37" t="s">
        <v>31</v>
      </c>
      <c r="C128" s="37" t="s">
        <v>22</v>
      </c>
      <c r="D128" s="37" t="s">
        <v>51</v>
      </c>
      <c r="E128" s="38">
        <v>356993</v>
      </c>
      <c r="F128" s="38">
        <v>0</v>
      </c>
      <c r="G128" s="38">
        <v>0</v>
      </c>
      <c r="H128" s="39">
        <v>0</v>
      </c>
    </row>
    <row r="129" spans="1:8" ht="19.95" customHeight="1" x14ac:dyDescent="0.3">
      <c r="A129" s="36" t="s">
        <v>207</v>
      </c>
      <c r="B129" s="37" t="s">
        <v>44</v>
      </c>
      <c r="C129" s="37" t="s">
        <v>22</v>
      </c>
      <c r="D129" s="37" t="s">
        <v>96</v>
      </c>
      <c r="E129" s="38">
        <v>274783</v>
      </c>
      <c r="F129" s="38">
        <v>0</v>
      </c>
      <c r="G129" s="38">
        <v>0</v>
      </c>
      <c r="H129" s="39">
        <v>0</v>
      </c>
    </row>
    <row r="130" spans="1:8" ht="19.95" customHeight="1" x14ac:dyDescent="0.3">
      <c r="A130" s="36" t="s">
        <v>208</v>
      </c>
      <c r="B130" s="37" t="s">
        <v>44</v>
      </c>
      <c r="C130" s="37" t="s">
        <v>34</v>
      </c>
      <c r="D130" s="37" t="s">
        <v>104</v>
      </c>
      <c r="E130" s="38">
        <v>24654</v>
      </c>
      <c r="F130" s="38">
        <v>0</v>
      </c>
      <c r="G130" s="38">
        <v>0</v>
      </c>
      <c r="H130" s="39">
        <v>0</v>
      </c>
    </row>
    <row r="131" spans="1:8" ht="19.95" customHeight="1" x14ac:dyDescent="0.3">
      <c r="A131" s="36" t="s">
        <v>209</v>
      </c>
      <c r="B131" s="37" t="s">
        <v>44</v>
      </c>
      <c r="C131" s="37" t="s">
        <v>34</v>
      </c>
      <c r="D131" s="37" t="s">
        <v>68</v>
      </c>
      <c r="E131" s="38">
        <v>124486</v>
      </c>
      <c r="F131" s="38">
        <v>0</v>
      </c>
      <c r="G131" s="38">
        <v>0</v>
      </c>
      <c r="H131" s="39">
        <v>0</v>
      </c>
    </row>
    <row r="132" spans="1:8" ht="19.95" customHeight="1" x14ac:dyDescent="0.3">
      <c r="A132" s="36" t="s">
        <v>210</v>
      </c>
      <c r="B132" s="37" t="s">
        <v>31</v>
      </c>
      <c r="C132" s="37" t="s">
        <v>26</v>
      </c>
      <c r="D132" s="37" t="s">
        <v>32</v>
      </c>
      <c r="E132" s="38">
        <v>79704</v>
      </c>
      <c r="F132" s="38">
        <v>0</v>
      </c>
      <c r="G132" s="38">
        <v>0</v>
      </c>
      <c r="H132" s="39">
        <v>0</v>
      </c>
    </row>
    <row r="133" spans="1:8" ht="19.95" customHeight="1" x14ac:dyDescent="0.3">
      <c r="A133" s="36" t="s">
        <v>211</v>
      </c>
      <c r="B133" s="37" t="s">
        <v>21</v>
      </c>
      <c r="C133" s="37" t="s">
        <v>22</v>
      </c>
      <c r="D133" s="37" t="s">
        <v>138</v>
      </c>
      <c r="E133" s="38">
        <v>384308</v>
      </c>
      <c r="F133" s="38">
        <v>0</v>
      </c>
      <c r="G133" s="38">
        <v>0</v>
      </c>
      <c r="H133" s="39">
        <v>0</v>
      </c>
    </row>
    <row r="134" spans="1:8" ht="19.95" customHeight="1" x14ac:dyDescent="0.3">
      <c r="A134" s="36" t="s">
        <v>212</v>
      </c>
      <c r="B134" s="37" t="s">
        <v>31</v>
      </c>
      <c r="C134" s="37" t="s">
        <v>41</v>
      </c>
      <c r="D134" s="37" t="s">
        <v>73</v>
      </c>
      <c r="E134" s="38">
        <v>9217</v>
      </c>
      <c r="F134" s="38">
        <v>0</v>
      </c>
      <c r="G134" s="38">
        <v>0</v>
      </c>
      <c r="H134" s="39">
        <v>0</v>
      </c>
    </row>
    <row r="135" spans="1:8" ht="19.95" customHeight="1" x14ac:dyDescent="0.3">
      <c r="A135" s="36" t="s">
        <v>213</v>
      </c>
      <c r="B135" s="37" t="s">
        <v>44</v>
      </c>
      <c r="C135" s="37" t="s">
        <v>34</v>
      </c>
      <c r="D135" s="37" t="s">
        <v>214</v>
      </c>
      <c r="E135" s="38">
        <v>12028</v>
      </c>
      <c r="F135" s="38">
        <v>0</v>
      </c>
      <c r="G135" s="38">
        <v>0</v>
      </c>
      <c r="H135" s="39">
        <v>0</v>
      </c>
    </row>
    <row r="136" spans="1:8" ht="19.95" customHeight="1" x14ac:dyDescent="0.3">
      <c r="A136" s="36" t="s">
        <v>215</v>
      </c>
      <c r="B136" s="37" t="s">
        <v>44</v>
      </c>
      <c r="C136" s="37" t="s">
        <v>86</v>
      </c>
      <c r="D136" s="37" t="s">
        <v>216</v>
      </c>
      <c r="E136" s="38">
        <v>1007756</v>
      </c>
      <c r="F136" s="38">
        <v>0</v>
      </c>
      <c r="G136" s="38">
        <v>0</v>
      </c>
      <c r="H136" s="39">
        <v>0</v>
      </c>
    </row>
    <row r="137" spans="1:8" ht="19.95" customHeight="1" x14ac:dyDescent="0.3">
      <c r="A137" s="36" t="s">
        <v>217</v>
      </c>
      <c r="B137" s="37" t="s">
        <v>131</v>
      </c>
      <c r="C137" s="37" t="s">
        <v>57</v>
      </c>
      <c r="D137" s="37" t="s">
        <v>58</v>
      </c>
      <c r="E137" s="38">
        <v>491013</v>
      </c>
      <c r="F137" s="38">
        <v>0</v>
      </c>
      <c r="G137" s="38">
        <v>0</v>
      </c>
      <c r="H137" s="39">
        <v>0</v>
      </c>
    </row>
    <row r="138" spans="1:8" ht="19.95" customHeight="1" x14ac:dyDescent="0.3">
      <c r="A138" s="36" t="s">
        <v>218</v>
      </c>
      <c r="B138" s="37" t="s">
        <v>31</v>
      </c>
      <c r="C138" s="37" t="s">
        <v>41</v>
      </c>
      <c r="D138" s="37" t="s">
        <v>172</v>
      </c>
      <c r="E138" s="38">
        <v>21491</v>
      </c>
      <c r="F138" s="38">
        <v>0</v>
      </c>
      <c r="G138" s="38">
        <v>0</v>
      </c>
      <c r="H138" s="39">
        <v>0</v>
      </c>
    </row>
    <row r="139" spans="1:8" ht="19.95" customHeight="1" x14ac:dyDescent="0.3">
      <c r="A139" s="36" t="s">
        <v>219</v>
      </c>
      <c r="B139" s="37" t="s">
        <v>67</v>
      </c>
      <c r="C139" s="37" t="s">
        <v>57</v>
      </c>
      <c r="D139" s="37" t="s">
        <v>78</v>
      </c>
      <c r="E139" s="38">
        <v>3225923</v>
      </c>
      <c r="F139" s="38">
        <v>0</v>
      </c>
      <c r="G139" s="38">
        <v>0</v>
      </c>
      <c r="H139" s="39">
        <v>0</v>
      </c>
    </row>
    <row r="140" spans="1:8" ht="19.95" customHeight="1" x14ac:dyDescent="0.3">
      <c r="A140" s="36" t="s">
        <v>220</v>
      </c>
      <c r="B140" s="37" t="s">
        <v>44</v>
      </c>
      <c r="C140" s="37" t="s">
        <v>57</v>
      </c>
      <c r="D140" s="37" t="s">
        <v>78</v>
      </c>
      <c r="E140" s="38">
        <v>25836</v>
      </c>
      <c r="F140" s="38">
        <v>0</v>
      </c>
      <c r="G140" s="38">
        <v>0</v>
      </c>
      <c r="H140" s="39">
        <v>0</v>
      </c>
    </row>
    <row r="141" spans="1:8" ht="19.95" customHeight="1" x14ac:dyDescent="0.3">
      <c r="A141" s="36" t="s">
        <v>221</v>
      </c>
      <c r="B141" s="37" t="s">
        <v>44</v>
      </c>
      <c r="C141" s="37" t="s">
        <v>26</v>
      </c>
      <c r="D141" s="37" t="s">
        <v>29</v>
      </c>
      <c r="E141" s="38">
        <v>13218</v>
      </c>
      <c r="F141" s="38">
        <v>0</v>
      </c>
      <c r="G141" s="38">
        <v>0</v>
      </c>
      <c r="H141" s="39">
        <v>0</v>
      </c>
    </row>
    <row r="142" spans="1:8" ht="19.95" customHeight="1" x14ac:dyDescent="0.3">
      <c r="A142" s="36" t="s">
        <v>222</v>
      </c>
      <c r="B142" s="37" t="s">
        <v>144</v>
      </c>
      <c r="C142" s="37" t="s">
        <v>26</v>
      </c>
      <c r="D142" s="37" t="s">
        <v>63</v>
      </c>
      <c r="E142" s="38">
        <v>818533</v>
      </c>
      <c r="F142" s="38">
        <v>0</v>
      </c>
      <c r="G142" s="38">
        <v>0</v>
      </c>
      <c r="H142" s="39">
        <v>0</v>
      </c>
    </row>
    <row r="143" spans="1:8" ht="19.95" customHeight="1" x14ac:dyDescent="0.3">
      <c r="A143" s="36" t="s">
        <v>223</v>
      </c>
      <c r="B143" s="37" t="s">
        <v>44</v>
      </c>
      <c r="C143" s="37" t="s">
        <v>26</v>
      </c>
      <c r="D143" s="37" t="s">
        <v>45</v>
      </c>
      <c r="E143" s="38">
        <v>19465</v>
      </c>
      <c r="F143" s="38">
        <v>0</v>
      </c>
      <c r="G143" s="38">
        <v>0</v>
      </c>
      <c r="H143" s="39">
        <v>0</v>
      </c>
    </row>
    <row r="144" spans="1:8" ht="19.95" customHeight="1" x14ac:dyDescent="0.3">
      <c r="A144" s="36" t="s">
        <v>224</v>
      </c>
      <c r="B144" s="37" t="s">
        <v>25</v>
      </c>
      <c r="C144" s="37" t="s">
        <v>38</v>
      </c>
      <c r="D144" s="37" t="s">
        <v>39</v>
      </c>
      <c r="E144" s="38">
        <v>11907</v>
      </c>
      <c r="F144" s="38">
        <v>0</v>
      </c>
      <c r="G144" s="38">
        <v>0</v>
      </c>
      <c r="H144" s="39">
        <v>3577</v>
      </c>
    </row>
    <row r="145" spans="1:8" ht="19.95" customHeight="1" x14ac:dyDescent="0.3">
      <c r="A145" s="36" t="s">
        <v>225</v>
      </c>
      <c r="B145" s="37" t="s">
        <v>25</v>
      </c>
      <c r="C145" s="37" t="s">
        <v>34</v>
      </c>
      <c r="D145" s="37" t="s">
        <v>226</v>
      </c>
      <c r="E145" s="38">
        <v>2563052</v>
      </c>
      <c r="F145" s="38">
        <v>0</v>
      </c>
      <c r="G145" s="38">
        <v>0</v>
      </c>
      <c r="H145" s="39">
        <v>0</v>
      </c>
    </row>
    <row r="146" spans="1:8" ht="19.95" customHeight="1" x14ac:dyDescent="0.3">
      <c r="A146" s="36" t="s">
        <v>227</v>
      </c>
      <c r="B146" s="37" t="s">
        <v>49</v>
      </c>
      <c r="C146" s="37" t="s">
        <v>26</v>
      </c>
      <c r="D146" s="37" t="s">
        <v>32</v>
      </c>
      <c r="E146" s="38">
        <v>8929035</v>
      </c>
      <c r="F146" s="38">
        <v>2891</v>
      </c>
      <c r="G146" s="38">
        <v>0</v>
      </c>
      <c r="H146" s="39">
        <v>0</v>
      </c>
    </row>
    <row r="147" spans="1:8" ht="19.95" customHeight="1" x14ac:dyDescent="0.3">
      <c r="A147" s="36" t="s">
        <v>228</v>
      </c>
      <c r="B147" s="37" t="s">
        <v>49</v>
      </c>
      <c r="C147" s="37" t="s">
        <v>26</v>
      </c>
      <c r="D147" s="37" t="s">
        <v>98</v>
      </c>
      <c r="E147" s="38">
        <v>272898</v>
      </c>
      <c r="F147" s="38">
        <v>4693</v>
      </c>
      <c r="G147" s="38">
        <v>4409</v>
      </c>
      <c r="H147" s="39">
        <v>0</v>
      </c>
    </row>
    <row r="148" spans="1:8" ht="19.95" customHeight="1" x14ac:dyDescent="0.3">
      <c r="A148" s="36" t="s">
        <v>229</v>
      </c>
      <c r="B148" s="37" t="s">
        <v>67</v>
      </c>
      <c r="C148" s="37" t="s">
        <v>26</v>
      </c>
      <c r="D148" s="37" t="s">
        <v>32</v>
      </c>
      <c r="E148" s="38">
        <v>110602</v>
      </c>
      <c r="F148" s="38">
        <v>0</v>
      </c>
      <c r="G148" s="38">
        <v>0</v>
      </c>
      <c r="H148" s="39">
        <v>0</v>
      </c>
    </row>
    <row r="149" spans="1:8" ht="19.95" customHeight="1" x14ac:dyDescent="0.3">
      <c r="A149" s="36" t="s">
        <v>230</v>
      </c>
      <c r="B149" s="37" t="s">
        <v>21</v>
      </c>
      <c r="C149" s="37" t="s">
        <v>34</v>
      </c>
      <c r="D149" s="37" t="s">
        <v>231</v>
      </c>
      <c r="E149" s="38">
        <v>166621</v>
      </c>
      <c r="F149" s="38">
        <v>0</v>
      </c>
      <c r="G149" s="38">
        <v>0</v>
      </c>
      <c r="H149" s="39">
        <v>0</v>
      </c>
    </row>
    <row r="150" spans="1:8" ht="19.95" customHeight="1" x14ac:dyDescent="0.3">
      <c r="A150" s="36" t="s">
        <v>232</v>
      </c>
      <c r="B150" s="37" t="s">
        <v>31</v>
      </c>
      <c r="C150" s="37" t="s">
        <v>26</v>
      </c>
      <c r="D150" s="37" t="s">
        <v>63</v>
      </c>
      <c r="E150" s="38">
        <v>58983</v>
      </c>
      <c r="F150" s="38">
        <v>0</v>
      </c>
      <c r="G150" s="38">
        <v>0</v>
      </c>
      <c r="H150" s="39">
        <v>0</v>
      </c>
    </row>
    <row r="151" spans="1:8" ht="19.95" customHeight="1" x14ac:dyDescent="0.3">
      <c r="A151" s="36" t="s">
        <v>233</v>
      </c>
      <c r="B151" s="37" t="s">
        <v>31</v>
      </c>
      <c r="C151" s="37" t="s">
        <v>34</v>
      </c>
      <c r="D151" s="37" t="s">
        <v>226</v>
      </c>
      <c r="E151" s="38">
        <v>39081</v>
      </c>
      <c r="F151" s="38">
        <v>0</v>
      </c>
      <c r="G151" s="38">
        <v>0</v>
      </c>
      <c r="H151" s="39">
        <v>0</v>
      </c>
    </row>
    <row r="152" spans="1:8" ht="19.95" customHeight="1" x14ac:dyDescent="0.3">
      <c r="A152" s="36" t="s">
        <v>234</v>
      </c>
      <c r="B152" s="37" t="s">
        <v>95</v>
      </c>
      <c r="C152" s="37" t="s">
        <v>57</v>
      </c>
      <c r="D152" s="37" t="s">
        <v>63</v>
      </c>
      <c r="E152" s="38">
        <v>6782717</v>
      </c>
      <c r="F152" s="38">
        <v>0</v>
      </c>
      <c r="G152" s="38">
        <v>0</v>
      </c>
      <c r="H152" s="39">
        <v>0</v>
      </c>
    </row>
    <row r="153" spans="1:8" ht="19.95" customHeight="1" x14ac:dyDescent="0.3">
      <c r="A153" s="36" t="s">
        <v>235</v>
      </c>
      <c r="B153" s="37" t="s">
        <v>144</v>
      </c>
      <c r="C153" s="37" t="s">
        <v>26</v>
      </c>
      <c r="D153" s="37" t="s">
        <v>45</v>
      </c>
      <c r="E153" s="38">
        <v>741574</v>
      </c>
      <c r="F153" s="38">
        <v>0</v>
      </c>
      <c r="G153" s="38">
        <v>0</v>
      </c>
      <c r="H153" s="39">
        <v>0</v>
      </c>
    </row>
    <row r="154" spans="1:8" ht="19.95" customHeight="1" x14ac:dyDescent="0.3">
      <c r="A154" s="36" t="s">
        <v>236</v>
      </c>
      <c r="B154" s="37" t="s">
        <v>31</v>
      </c>
      <c r="C154" s="37" t="s">
        <v>41</v>
      </c>
      <c r="D154" s="37" t="s">
        <v>73</v>
      </c>
      <c r="E154" s="38">
        <v>47378</v>
      </c>
      <c r="F154" s="38">
        <v>0</v>
      </c>
      <c r="G154" s="38">
        <v>0</v>
      </c>
      <c r="H154" s="39">
        <v>0</v>
      </c>
    </row>
    <row r="155" spans="1:8" ht="19.95" customHeight="1" x14ac:dyDescent="0.3">
      <c r="A155" s="36" t="s">
        <v>237</v>
      </c>
      <c r="B155" s="37" t="s">
        <v>25</v>
      </c>
      <c r="C155" s="37" t="s">
        <v>38</v>
      </c>
      <c r="D155" s="37" t="s">
        <v>39</v>
      </c>
      <c r="E155" s="38">
        <v>736282</v>
      </c>
      <c r="F155" s="38">
        <v>773</v>
      </c>
      <c r="G155" s="38">
        <v>0</v>
      </c>
      <c r="H155" s="39">
        <v>3710</v>
      </c>
    </row>
    <row r="156" spans="1:8" ht="19.95" customHeight="1" x14ac:dyDescent="0.3">
      <c r="A156" s="36" t="s">
        <v>238</v>
      </c>
      <c r="B156" s="37" t="s">
        <v>25</v>
      </c>
      <c r="C156" s="37" t="s">
        <v>41</v>
      </c>
      <c r="D156" s="37" t="s">
        <v>87</v>
      </c>
      <c r="E156" s="38">
        <v>3208755</v>
      </c>
      <c r="F156" s="38">
        <v>126200</v>
      </c>
      <c r="G156" s="38">
        <v>129858</v>
      </c>
      <c r="H156" s="39">
        <v>34828</v>
      </c>
    </row>
    <row r="157" spans="1:8" ht="19.95" customHeight="1" x14ac:dyDescent="0.3">
      <c r="A157" s="36" t="s">
        <v>239</v>
      </c>
      <c r="B157" s="37" t="s">
        <v>49</v>
      </c>
      <c r="C157" s="37" t="s">
        <v>41</v>
      </c>
      <c r="D157" s="37" t="s">
        <v>65</v>
      </c>
      <c r="E157" s="38">
        <v>4725610</v>
      </c>
      <c r="F157" s="38">
        <v>3431</v>
      </c>
      <c r="G157" s="38">
        <v>10035</v>
      </c>
      <c r="H157" s="39">
        <v>2513</v>
      </c>
    </row>
    <row r="158" spans="1:8" ht="19.95" customHeight="1" x14ac:dyDescent="0.3">
      <c r="A158" s="36" t="s">
        <v>240</v>
      </c>
      <c r="B158" s="37" t="s">
        <v>49</v>
      </c>
      <c r="C158" s="37" t="s">
        <v>86</v>
      </c>
      <c r="D158" s="37" t="s">
        <v>110</v>
      </c>
      <c r="E158" s="38">
        <v>17187508</v>
      </c>
      <c r="F158" s="38">
        <v>4760</v>
      </c>
      <c r="G158" s="38">
        <v>0</v>
      </c>
      <c r="H158" s="39">
        <v>1392</v>
      </c>
    </row>
    <row r="159" spans="1:8" ht="19.95" customHeight="1" x14ac:dyDescent="0.3">
      <c r="A159" s="36" t="s">
        <v>241</v>
      </c>
      <c r="B159" s="37" t="s">
        <v>21</v>
      </c>
      <c r="C159" s="37" t="s">
        <v>41</v>
      </c>
      <c r="D159" s="37" t="s">
        <v>65</v>
      </c>
      <c r="E159" s="38">
        <v>55285</v>
      </c>
      <c r="F159" s="38">
        <v>0</v>
      </c>
      <c r="G159" s="38">
        <v>0</v>
      </c>
      <c r="H159" s="39">
        <v>0</v>
      </c>
    </row>
    <row r="160" spans="1:8" ht="19.95" customHeight="1" x14ac:dyDescent="0.3">
      <c r="A160" s="36" t="s">
        <v>242</v>
      </c>
      <c r="B160" s="37" t="s">
        <v>31</v>
      </c>
      <c r="C160" s="37" t="s">
        <v>26</v>
      </c>
      <c r="D160" s="37" t="s">
        <v>32</v>
      </c>
      <c r="E160" s="38">
        <v>63086</v>
      </c>
      <c r="F160" s="38">
        <v>0</v>
      </c>
      <c r="G160" s="38">
        <v>0</v>
      </c>
      <c r="H160" s="39">
        <v>0</v>
      </c>
    </row>
    <row r="161" spans="1:8" ht="19.95" customHeight="1" x14ac:dyDescent="0.3">
      <c r="A161" s="36" t="s">
        <v>243</v>
      </c>
      <c r="B161" s="37" t="s">
        <v>25</v>
      </c>
      <c r="C161" s="37" t="s">
        <v>41</v>
      </c>
      <c r="D161" s="37" t="s">
        <v>116</v>
      </c>
      <c r="E161" s="38">
        <v>4919163</v>
      </c>
      <c r="F161" s="38">
        <v>105154</v>
      </c>
      <c r="G161" s="38">
        <v>60069</v>
      </c>
      <c r="H161" s="39">
        <v>291787</v>
      </c>
    </row>
    <row r="162" spans="1:8" ht="19.95" customHeight="1" x14ac:dyDescent="0.3">
      <c r="A162" s="36" t="s">
        <v>244</v>
      </c>
      <c r="B162" s="37" t="s">
        <v>31</v>
      </c>
      <c r="C162" s="37" t="s">
        <v>34</v>
      </c>
      <c r="D162" s="37" t="s">
        <v>245</v>
      </c>
      <c r="E162" s="38">
        <v>88931</v>
      </c>
      <c r="F162" s="38">
        <v>0</v>
      </c>
      <c r="G162" s="38">
        <v>0</v>
      </c>
      <c r="H162" s="39">
        <v>62</v>
      </c>
    </row>
    <row r="163" spans="1:8" ht="19.95" customHeight="1" x14ac:dyDescent="0.3">
      <c r="A163" s="36" t="s">
        <v>246</v>
      </c>
      <c r="B163" s="37" t="s">
        <v>25</v>
      </c>
      <c r="C163" s="37" t="s">
        <v>41</v>
      </c>
      <c r="D163" s="37" t="s">
        <v>172</v>
      </c>
      <c r="E163" s="38">
        <v>3628222</v>
      </c>
      <c r="F163" s="38">
        <v>49</v>
      </c>
      <c r="G163" s="38">
        <v>5</v>
      </c>
      <c r="H163" s="39">
        <v>38830</v>
      </c>
    </row>
    <row r="164" spans="1:8" ht="19.95" customHeight="1" x14ac:dyDescent="0.3">
      <c r="A164" s="36" t="s">
        <v>247</v>
      </c>
      <c r="B164" s="37" t="s">
        <v>44</v>
      </c>
      <c r="C164" s="37" t="s">
        <v>41</v>
      </c>
      <c r="D164" s="37" t="s">
        <v>87</v>
      </c>
      <c r="E164" s="38">
        <v>27479</v>
      </c>
      <c r="F164" s="38">
        <v>0</v>
      </c>
      <c r="G164" s="38">
        <v>0</v>
      </c>
      <c r="H164" s="39">
        <v>0</v>
      </c>
    </row>
    <row r="165" spans="1:8" ht="19.95" customHeight="1" x14ac:dyDescent="0.3">
      <c r="A165" s="36" t="s">
        <v>248</v>
      </c>
      <c r="B165" s="37" t="s">
        <v>25</v>
      </c>
      <c r="C165" s="37" t="s">
        <v>86</v>
      </c>
      <c r="D165" s="37" t="s">
        <v>249</v>
      </c>
      <c r="E165" s="38">
        <v>152068</v>
      </c>
      <c r="F165" s="38">
        <v>21685</v>
      </c>
      <c r="G165" s="38">
        <v>20408</v>
      </c>
      <c r="H165" s="39">
        <v>460</v>
      </c>
    </row>
    <row r="166" spans="1:8" ht="19.95" customHeight="1" x14ac:dyDescent="0.3">
      <c r="A166" s="36" t="s">
        <v>250</v>
      </c>
      <c r="B166" s="37" t="s">
        <v>25</v>
      </c>
      <c r="C166" s="37" t="s">
        <v>41</v>
      </c>
      <c r="D166" s="37" t="s">
        <v>47</v>
      </c>
      <c r="E166" s="38">
        <v>437661</v>
      </c>
      <c r="F166" s="38">
        <v>23227</v>
      </c>
      <c r="G166" s="38">
        <v>34788</v>
      </c>
      <c r="H166" s="39">
        <v>9775</v>
      </c>
    </row>
    <row r="167" spans="1:8" ht="19.95" customHeight="1" x14ac:dyDescent="0.3">
      <c r="A167" s="36" t="s">
        <v>251</v>
      </c>
      <c r="B167" s="37" t="s">
        <v>25</v>
      </c>
      <c r="C167" s="37" t="s">
        <v>22</v>
      </c>
      <c r="D167" s="37" t="s">
        <v>53</v>
      </c>
      <c r="E167" s="38">
        <v>12191834</v>
      </c>
      <c r="F167" s="38">
        <v>205754</v>
      </c>
      <c r="G167" s="38">
        <v>176473</v>
      </c>
      <c r="H167" s="39">
        <v>71019</v>
      </c>
    </row>
    <row r="168" spans="1:8" ht="19.95" customHeight="1" x14ac:dyDescent="0.3">
      <c r="A168" s="36" t="s">
        <v>252</v>
      </c>
      <c r="B168" s="37" t="s">
        <v>131</v>
      </c>
      <c r="C168" s="37" t="s">
        <v>57</v>
      </c>
      <c r="D168" s="37" t="s">
        <v>58</v>
      </c>
      <c r="E168" s="38">
        <v>77642</v>
      </c>
      <c r="F168" s="38">
        <v>22950</v>
      </c>
      <c r="G168" s="38">
        <v>11463</v>
      </c>
      <c r="H168" s="39">
        <v>0</v>
      </c>
    </row>
    <row r="169" spans="1:8" ht="19.95" customHeight="1" x14ac:dyDescent="0.3">
      <c r="A169" s="36" t="s">
        <v>253</v>
      </c>
      <c r="B169" s="37" t="s">
        <v>25</v>
      </c>
      <c r="C169" s="37" t="s">
        <v>41</v>
      </c>
      <c r="D169" s="37" t="s">
        <v>42</v>
      </c>
      <c r="E169" s="38">
        <v>226134</v>
      </c>
      <c r="F169" s="38">
        <v>16501</v>
      </c>
      <c r="G169" s="38">
        <v>8432</v>
      </c>
      <c r="H169" s="39">
        <v>2671</v>
      </c>
    </row>
    <row r="170" spans="1:8" ht="19.95" customHeight="1" x14ac:dyDescent="0.3">
      <c r="A170" s="36" t="s">
        <v>254</v>
      </c>
      <c r="B170" s="37" t="s">
        <v>144</v>
      </c>
      <c r="C170" s="37" t="s">
        <v>22</v>
      </c>
      <c r="D170" s="37" t="s">
        <v>96</v>
      </c>
      <c r="E170" s="38">
        <v>461143</v>
      </c>
      <c r="F170" s="38">
        <v>0</v>
      </c>
      <c r="G170" s="38">
        <v>0</v>
      </c>
      <c r="H170" s="39">
        <v>0</v>
      </c>
    </row>
    <row r="171" spans="1:8" ht="19.95" customHeight="1" x14ac:dyDescent="0.3">
      <c r="A171" s="36" t="s">
        <v>255</v>
      </c>
      <c r="B171" s="37" t="s">
        <v>71</v>
      </c>
      <c r="C171" s="37" t="s">
        <v>22</v>
      </c>
      <c r="D171" s="37" t="s">
        <v>84</v>
      </c>
      <c r="E171" s="38">
        <v>7801176</v>
      </c>
      <c r="F171" s="38">
        <v>51958</v>
      </c>
      <c r="G171" s="38">
        <v>159502</v>
      </c>
      <c r="H171" s="39">
        <v>0</v>
      </c>
    </row>
    <row r="172" spans="1:8" ht="19.95" customHeight="1" x14ac:dyDescent="0.3">
      <c r="A172" s="36" t="s">
        <v>256</v>
      </c>
      <c r="B172" s="37" t="s">
        <v>31</v>
      </c>
      <c r="C172" s="37" t="s">
        <v>86</v>
      </c>
      <c r="D172" s="37" t="s">
        <v>151</v>
      </c>
      <c r="E172" s="38">
        <v>39104</v>
      </c>
      <c r="F172" s="38">
        <v>0</v>
      </c>
      <c r="G172" s="38">
        <v>0</v>
      </c>
      <c r="H172" s="39">
        <v>0</v>
      </c>
    </row>
    <row r="173" spans="1:8" ht="19.95" customHeight="1" x14ac:dyDescent="0.3">
      <c r="A173" s="36" t="s">
        <v>257</v>
      </c>
      <c r="B173" s="37" t="s">
        <v>25</v>
      </c>
      <c r="C173" s="37" t="s">
        <v>86</v>
      </c>
      <c r="D173" s="37" t="s">
        <v>258</v>
      </c>
      <c r="E173" s="38">
        <v>732477</v>
      </c>
      <c r="F173" s="38">
        <v>20297</v>
      </c>
      <c r="G173" s="38">
        <v>0</v>
      </c>
      <c r="H173" s="39">
        <v>4874</v>
      </c>
    </row>
    <row r="174" spans="1:8" ht="19.95" customHeight="1" x14ac:dyDescent="0.3">
      <c r="A174" s="36" t="s">
        <v>259</v>
      </c>
      <c r="B174" s="37" t="s">
        <v>67</v>
      </c>
      <c r="C174" s="37" t="s">
        <v>26</v>
      </c>
      <c r="D174" s="37" t="s">
        <v>32</v>
      </c>
      <c r="E174" s="38">
        <v>63647</v>
      </c>
      <c r="F174" s="38">
        <v>0</v>
      </c>
      <c r="G174" s="38">
        <v>0</v>
      </c>
      <c r="H174" s="39">
        <v>0</v>
      </c>
    </row>
    <row r="175" spans="1:8" ht="19.95" customHeight="1" x14ac:dyDescent="0.3">
      <c r="A175" s="36" t="s">
        <v>260</v>
      </c>
      <c r="B175" s="37" t="s">
        <v>44</v>
      </c>
      <c r="C175" s="37" t="s">
        <v>26</v>
      </c>
      <c r="D175" s="37" t="s">
        <v>58</v>
      </c>
      <c r="E175" s="38">
        <v>12260</v>
      </c>
      <c r="F175" s="38">
        <v>0</v>
      </c>
      <c r="G175" s="38">
        <v>0</v>
      </c>
      <c r="H175" s="39">
        <v>0</v>
      </c>
    </row>
    <row r="176" spans="1:8" ht="19.95" customHeight="1" x14ac:dyDescent="0.3">
      <c r="A176" s="36" t="s">
        <v>261</v>
      </c>
      <c r="B176" s="37" t="s">
        <v>21</v>
      </c>
      <c r="C176" s="37" t="s">
        <v>57</v>
      </c>
      <c r="D176" s="37" t="s">
        <v>98</v>
      </c>
      <c r="E176" s="38">
        <v>488049</v>
      </c>
      <c r="F176" s="38">
        <v>0</v>
      </c>
      <c r="G176" s="38">
        <v>0</v>
      </c>
      <c r="H176" s="39">
        <v>0</v>
      </c>
    </row>
    <row r="177" spans="1:8" ht="19.95" customHeight="1" x14ac:dyDescent="0.3">
      <c r="A177" s="36" t="s">
        <v>262</v>
      </c>
      <c r="B177" s="37" t="s">
        <v>21</v>
      </c>
      <c r="C177" s="37" t="s">
        <v>26</v>
      </c>
      <c r="D177" s="37" t="s">
        <v>58</v>
      </c>
      <c r="E177" s="38">
        <v>17946</v>
      </c>
      <c r="F177" s="38">
        <v>0</v>
      </c>
      <c r="G177" s="38">
        <v>0</v>
      </c>
      <c r="H177" s="39">
        <v>0</v>
      </c>
    </row>
    <row r="178" spans="1:8" ht="19.95" customHeight="1" x14ac:dyDescent="0.3">
      <c r="A178" s="36" t="s">
        <v>263</v>
      </c>
      <c r="B178" s="37" t="s">
        <v>44</v>
      </c>
      <c r="C178" s="37" t="s">
        <v>34</v>
      </c>
      <c r="D178" s="37" t="s">
        <v>226</v>
      </c>
      <c r="E178" s="38">
        <v>24102</v>
      </c>
      <c r="F178" s="38">
        <v>0</v>
      </c>
      <c r="G178" s="38">
        <v>0</v>
      </c>
      <c r="H178" s="39">
        <v>0</v>
      </c>
    </row>
    <row r="179" spans="1:8" ht="19.95" customHeight="1" x14ac:dyDescent="0.3">
      <c r="A179" s="36" t="s">
        <v>264</v>
      </c>
      <c r="B179" s="37" t="s">
        <v>25</v>
      </c>
      <c r="C179" s="37" t="s">
        <v>86</v>
      </c>
      <c r="D179" s="37" t="s">
        <v>258</v>
      </c>
      <c r="E179" s="38">
        <v>1433593</v>
      </c>
      <c r="F179" s="38">
        <v>1050</v>
      </c>
      <c r="G179" s="38">
        <v>57</v>
      </c>
      <c r="H179" s="39">
        <v>5558</v>
      </c>
    </row>
    <row r="180" spans="1:8" ht="19.95" customHeight="1" x14ac:dyDescent="0.3">
      <c r="A180" s="36" t="s">
        <v>265</v>
      </c>
      <c r="B180" s="37" t="s">
        <v>44</v>
      </c>
      <c r="C180" s="37" t="s">
        <v>34</v>
      </c>
      <c r="D180" s="37" t="s">
        <v>178</v>
      </c>
      <c r="E180" s="38">
        <v>148031</v>
      </c>
      <c r="F180" s="38">
        <v>0</v>
      </c>
      <c r="G180" s="38">
        <v>0</v>
      </c>
      <c r="H180" s="39">
        <v>0</v>
      </c>
    </row>
    <row r="181" spans="1:8" ht="19.95" customHeight="1" x14ac:dyDescent="0.3">
      <c r="A181" s="36" t="s">
        <v>266</v>
      </c>
      <c r="B181" s="37" t="s">
        <v>44</v>
      </c>
      <c r="C181" s="37" t="s">
        <v>26</v>
      </c>
      <c r="D181" s="37" t="s">
        <v>32</v>
      </c>
      <c r="E181" s="38">
        <v>123848</v>
      </c>
      <c r="F181" s="38">
        <v>0</v>
      </c>
      <c r="G181" s="38">
        <v>0</v>
      </c>
      <c r="H181" s="39">
        <v>0</v>
      </c>
    </row>
    <row r="182" spans="1:8" ht="19.95" customHeight="1" x14ac:dyDescent="0.3">
      <c r="A182" s="36" t="s">
        <v>267</v>
      </c>
      <c r="B182" s="37" t="s">
        <v>21</v>
      </c>
      <c r="C182" s="37" t="s">
        <v>34</v>
      </c>
      <c r="D182" s="37" t="s">
        <v>35</v>
      </c>
      <c r="E182" s="38">
        <v>52330</v>
      </c>
      <c r="F182" s="38">
        <v>0</v>
      </c>
      <c r="G182" s="38">
        <v>0</v>
      </c>
      <c r="H182" s="39">
        <v>0</v>
      </c>
    </row>
    <row r="183" spans="1:8" ht="19.95" customHeight="1" x14ac:dyDescent="0.3">
      <c r="A183" s="36" t="s">
        <v>268</v>
      </c>
      <c r="B183" s="37" t="s">
        <v>21</v>
      </c>
      <c r="C183" s="37" t="s">
        <v>34</v>
      </c>
      <c r="D183" s="37" t="s">
        <v>140</v>
      </c>
      <c r="E183" s="38">
        <v>65350</v>
      </c>
      <c r="F183" s="38">
        <v>0</v>
      </c>
      <c r="G183" s="38">
        <v>0</v>
      </c>
      <c r="H183" s="39">
        <v>0</v>
      </c>
    </row>
    <row r="184" spans="1:8" ht="19.95" customHeight="1" x14ac:dyDescent="0.3">
      <c r="A184" s="36" t="s">
        <v>269</v>
      </c>
      <c r="B184" s="37" t="s">
        <v>44</v>
      </c>
      <c r="C184" s="37" t="s">
        <v>26</v>
      </c>
      <c r="D184" s="37" t="s">
        <v>45</v>
      </c>
      <c r="E184" s="38">
        <v>48776</v>
      </c>
      <c r="F184" s="38">
        <v>0</v>
      </c>
      <c r="G184" s="38">
        <v>0</v>
      </c>
      <c r="H184" s="39">
        <v>0</v>
      </c>
    </row>
    <row r="185" spans="1:8" ht="19.95" customHeight="1" x14ac:dyDescent="0.3">
      <c r="A185" s="36" t="s">
        <v>270</v>
      </c>
      <c r="B185" s="37" t="s">
        <v>144</v>
      </c>
      <c r="C185" s="37" t="s">
        <v>22</v>
      </c>
      <c r="D185" s="37" t="s">
        <v>271</v>
      </c>
      <c r="E185" s="38">
        <v>64063</v>
      </c>
      <c r="F185" s="38">
        <v>0</v>
      </c>
      <c r="G185" s="38">
        <v>0</v>
      </c>
      <c r="H185" s="39">
        <v>0</v>
      </c>
    </row>
    <row r="186" spans="1:8" ht="19.95" customHeight="1" x14ac:dyDescent="0.3">
      <c r="A186" s="36" t="s">
        <v>272</v>
      </c>
      <c r="B186" s="37" t="s">
        <v>25</v>
      </c>
      <c r="C186" s="37" t="s">
        <v>34</v>
      </c>
      <c r="D186" s="37" t="s">
        <v>68</v>
      </c>
      <c r="E186" s="38">
        <v>2461812</v>
      </c>
      <c r="F186" s="38">
        <v>768</v>
      </c>
      <c r="G186" s="38">
        <v>43157</v>
      </c>
      <c r="H186" s="39">
        <v>0</v>
      </c>
    </row>
    <row r="187" spans="1:8" ht="19.95" customHeight="1" x14ac:dyDescent="0.3">
      <c r="A187" s="36" t="s">
        <v>273</v>
      </c>
      <c r="B187" s="37" t="s">
        <v>31</v>
      </c>
      <c r="C187" s="37" t="s">
        <v>41</v>
      </c>
      <c r="D187" s="37" t="s">
        <v>47</v>
      </c>
      <c r="E187" s="38">
        <v>31471</v>
      </c>
      <c r="F187" s="38">
        <v>1094</v>
      </c>
      <c r="G187" s="38">
        <v>1705</v>
      </c>
      <c r="H187" s="39">
        <v>0</v>
      </c>
    </row>
    <row r="188" spans="1:8" ht="19.95" customHeight="1" x14ac:dyDescent="0.3">
      <c r="A188" s="36" t="s">
        <v>274</v>
      </c>
      <c r="B188" s="37" t="s">
        <v>44</v>
      </c>
      <c r="C188" s="37" t="s">
        <v>41</v>
      </c>
      <c r="D188" s="37" t="s">
        <v>116</v>
      </c>
      <c r="E188" s="38">
        <v>46419</v>
      </c>
      <c r="F188" s="38">
        <v>0</v>
      </c>
      <c r="G188" s="38">
        <v>0</v>
      </c>
      <c r="H188" s="39">
        <v>0</v>
      </c>
    </row>
    <row r="189" spans="1:8" ht="19.95" customHeight="1" x14ac:dyDescent="0.3">
      <c r="A189" s="36" t="s">
        <v>275</v>
      </c>
      <c r="B189" s="37" t="s">
        <v>276</v>
      </c>
      <c r="C189" s="37" t="s">
        <v>34</v>
      </c>
      <c r="D189" s="37" t="s">
        <v>61</v>
      </c>
      <c r="E189" s="38">
        <v>29711</v>
      </c>
      <c r="F189" s="38">
        <v>0</v>
      </c>
      <c r="G189" s="38">
        <v>0</v>
      </c>
      <c r="H189" s="39">
        <v>0</v>
      </c>
    </row>
    <row r="190" spans="1:8" ht="19.95" customHeight="1" x14ac:dyDescent="0.3">
      <c r="A190" s="36" t="s">
        <v>277</v>
      </c>
      <c r="B190" s="37" t="s">
        <v>21</v>
      </c>
      <c r="C190" s="37" t="s">
        <v>26</v>
      </c>
      <c r="D190" s="37" t="s">
        <v>45</v>
      </c>
      <c r="E190" s="38">
        <v>2798651</v>
      </c>
      <c r="F190" s="38">
        <v>0</v>
      </c>
      <c r="G190" s="38">
        <v>0</v>
      </c>
      <c r="H190" s="39">
        <v>0</v>
      </c>
    </row>
    <row r="191" spans="1:8" ht="19.95" customHeight="1" x14ac:dyDescent="0.3">
      <c r="A191" s="36" t="s">
        <v>278</v>
      </c>
      <c r="B191" s="37" t="s">
        <v>25</v>
      </c>
      <c r="C191" s="37" t="s">
        <v>34</v>
      </c>
      <c r="D191" s="37" t="s">
        <v>231</v>
      </c>
      <c r="E191" s="38">
        <v>2705209</v>
      </c>
      <c r="F191" s="38">
        <v>23247</v>
      </c>
      <c r="G191" s="38">
        <v>13060</v>
      </c>
      <c r="H191" s="39">
        <v>0</v>
      </c>
    </row>
    <row r="192" spans="1:8" ht="19.95" customHeight="1" x14ac:dyDescent="0.3">
      <c r="A192" s="36" t="s">
        <v>279</v>
      </c>
      <c r="B192" s="37" t="s">
        <v>25</v>
      </c>
      <c r="C192" s="37" t="s">
        <v>34</v>
      </c>
      <c r="D192" s="37" t="s">
        <v>280</v>
      </c>
      <c r="E192" s="38">
        <v>28806</v>
      </c>
      <c r="F192" s="38">
        <v>6436</v>
      </c>
      <c r="G192" s="38">
        <v>0</v>
      </c>
      <c r="H192" s="39">
        <v>29259</v>
      </c>
    </row>
    <row r="193" spans="1:8" ht="19.95" customHeight="1" x14ac:dyDescent="0.3">
      <c r="A193" s="36" t="s">
        <v>281</v>
      </c>
      <c r="B193" s="37" t="s">
        <v>44</v>
      </c>
      <c r="C193" s="37" t="s">
        <v>34</v>
      </c>
      <c r="D193" s="37" t="s">
        <v>140</v>
      </c>
      <c r="E193" s="38">
        <v>39671</v>
      </c>
      <c r="F193" s="38">
        <v>0</v>
      </c>
      <c r="G193" s="38">
        <v>0</v>
      </c>
      <c r="H193" s="39">
        <v>0</v>
      </c>
    </row>
    <row r="194" spans="1:8" ht="19.95" customHeight="1" x14ac:dyDescent="0.3">
      <c r="A194" s="36" t="s">
        <v>282</v>
      </c>
      <c r="B194" s="37" t="s">
        <v>21</v>
      </c>
      <c r="C194" s="37" t="s">
        <v>22</v>
      </c>
      <c r="D194" s="37" t="s">
        <v>114</v>
      </c>
      <c r="E194" s="38">
        <v>212591</v>
      </c>
      <c r="F194" s="38">
        <v>0</v>
      </c>
      <c r="G194" s="38">
        <v>0</v>
      </c>
      <c r="H194" s="39">
        <v>0</v>
      </c>
    </row>
    <row r="195" spans="1:8" ht="19.95" customHeight="1" x14ac:dyDescent="0.3">
      <c r="A195" s="36" t="s">
        <v>283</v>
      </c>
      <c r="B195" s="37" t="s">
        <v>31</v>
      </c>
      <c r="C195" s="37" t="s">
        <v>34</v>
      </c>
      <c r="D195" s="37" t="s">
        <v>75</v>
      </c>
      <c r="E195" s="38">
        <v>145332</v>
      </c>
      <c r="F195" s="38">
        <v>0</v>
      </c>
      <c r="G195" s="38">
        <v>0</v>
      </c>
      <c r="H195" s="39">
        <v>0</v>
      </c>
    </row>
    <row r="196" spans="1:8" ht="19.95" customHeight="1" x14ac:dyDescent="0.3">
      <c r="A196" s="36" t="s">
        <v>284</v>
      </c>
      <c r="B196" s="37" t="s">
        <v>21</v>
      </c>
      <c r="C196" s="37" t="s">
        <v>22</v>
      </c>
      <c r="D196" s="37" t="s">
        <v>51</v>
      </c>
      <c r="E196" s="38">
        <v>33031</v>
      </c>
      <c r="F196" s="38">
        <v>0</v>
      </c>
      <c r="G196" s="38">
        <v>0</v>
      </c>
      <c r="H196" s="39">
        <v>0</v>
      </c>
    </row>
    <row r="197" spans="1:8" ht="19.95" customHeight="1" x14ac:dyDescent="0.3">
      <c r="A197" s="36" t="s">
        <v>285</v>
      </c>
      <c r="B197" s="37" t="s">
        <v>95</v>
      </c>
      <c r="C197" s="37" t="s">
        <v>41</v>
      </c>
      <c r="D197" s="37" t="s">
        <v>172</v>
      </c>
      <c r="E197" s="38">
        <v>1459804</v>
      </c>
      <c r="F197" s="38">
        <v>0</v>
      </c>
      <c r="G197" s="38">
        <v>0</v>
      </c>
      <c r="H197" s="39">
        <v>0</v>
      </c>
    </row>
    <row r="198" spans="1:8" ht="19.95" customHeight="1" x14ac:dyDescent="0.3">
      <c r="A198" s="36" t="s">
        <v>286</v>
      </c>
      <c r="B198" s="37" t="s">
        <v>31</v>
      </c>
      <c r="C198" s="37" t="s">
        <v>86</v>
      </c>
      <c r="D198" s="37" t="s">
        <v>159</v>
      </c>
      <c r="E198" s="38">
        <v>122529</v>
      </c>
      <c r="F198" s="38">
        <v>0</v>
      </c>
      <c r="G198" s="38">
        <v>0</v>
      </c>
      <c r="H198" s="39">
        <v>0</v>
      </c>
    </row>
    <row r="199" spans="1:8" ht="19.95" customHeight="1" x14ac:dyDescent="0.3">
      <c r="A199" s="36" t="s">
        <v>287</v>
      </c>
      <c r="B199" s="37" t="s">
        <v>44</v>
      </c>
      <c r="C199" s="37" t="s">
        <v>26</v>
      </c>
      <c r="D199" s="37" t="s">
        <v>29</v>
      </c>
      <c r="E199" s="38">
        <v>18180</v>
      </c>
      <c r="F199" s="38">
        <v>0</v>
      </c>
      <c r="G199" s="38">
        <v>0</v>
      </c>
      <c r="H199" s="39">
        <v>0</v>
      </c>
    </row>
    <row r="200" spans="1:8" ht="19.95" customHeight="1" x14ac:dyDescent="0.3">
      <c r="A200" s="36" t="s">
        <v>288</v>
      </c>
      <c r="B200" s="37" t="s">
        <v>44</v>
      </c>
      <c r="C200" s="37" t="s">
        <v>86</v>
      </c>
      <c r="D200" s="37" t="s">
        <v>110</v>
      </c>
      <c r="E200" s="38">
        <v>45753</v>
      </c>
      <c r="F200" s="38">
        <v>0</v>
      </c>
      <c r="G200" s="38">
        <v>0</v>
      </c>
      <c r="H200" s="39">
        <v>0</v>
      </c>
    </row>
    <row r="201" spans="1:8" ht="19.95" customHeight="1" x14ac:dyDescent="0.3">
      <c r="A201" s="36" t="s">
        <v>289</v>
      </c>
      <c r="B201" s="37" t="s">
        <v>67</v>
      </c>
      <c r="C201" s="37" t="s">
        <v>26</v>
      </c>
      <c r="D201" s="37" t="s">
        <v>45</v>
      </c>
      <c r="E201" s="38">
        <v>95842</v>
      </c>
      <c r="F201" s="38">
        <v>0</v>
      </c>
      <c r="G201" s="38">
        <v>0</v>
      </c>
      <c r="H201" s="39">
        <v>0</v>
      </c>
    </row>
    <row r="202" spans="1:8" ht="19.95" customHeight="1" x14ac:dyDescent="0.3">
      <c r="A202" s="36" t="s">
        <v>290</v>
      </c>
      <c r="B202" s="37" t="s">
        <v>25</v>
      </c>
      <c r="C202" s="37" t="s">
        <v>86</v>
      </c>
      <c r="D202" s="37" t="s">
        <v>110</v>
      </c>
      <c r="E202" s="38">
        <v>2991874</v>
      </c>
      <c r="F202" s="38">
        <v>194464</v>
      </c>
      <c r="G202" s="38">
        <v>111471</v>
      </c>
      <c r="H202" s="39">
        <v>16604</v>
      </c>
    </row>
    <row r="203" spans="1:8" ht="19.95" customHeight="1" x14ac:dyDescent="0.3">
      <c r="A203" s="36" t="s">
        <v>291</v>
      </c>
      <c r="B203" s="37" t="s">
        <v>21</v>
      </c>
      <c r="C203" s="37" t="s">
        <v>86</v>
      </c>
      <c r="D203" s="37" t="s">
        <v>258</v>
      </c>
      <c r="E203" s="38">
        <v>30774</v>
      </c>
      <c r="F203" s="38">
        <v>0</v>
      </c>
      <c r="G203" s="38">
        <v>0</v>
      </c>
      <c r="H203" s="39">
        <v>0</v>
      </c>
    </row>
    <row r="204" spans="1:8" ht="19.95" customHeight="1" x14ac:dyDescent="0.3">
      <c r="A204" s="36" t="s">
        <v>292</v>
      </c>
      <c r="B204" s="37" t="s">
        <v>21</v>
      </c>
      <c r="C204" s="37" t="s">
        <v>86</v>
      </c>
      <c r="D204" s="37" t="s">
        <v>258</v>
      </c>
      <c r="E204" s="38">
        <v>351422</v>
      </c>
      <c r="F204" s="38">
        <v>0</v>
      </c>
      <c r="G204" s="38">
        <v>0</v>
      </c>
      <c r="H204" s="39">
        <v>0</v>
      </c>
    </row>
    <row r="205" spans="1:8" ht="19.95" customHeight="1" x14ac:dyDescent="0.3">
      <c r="A205" s="36" t="s">
        <v>293</v>
      </c>
      <c r="B205" s="37" t="s">
        <v>31</v>
      </c>
      <c r="C205" s="37" t="s">
        <v>26</v>
      </c>
      <c r="D205" s="37" t="s">
        <v>27</v>
      </c>
      <c r="E205" s="38">
        <v>35173</v>
      </c>
      <c r="F205" s="38">
        <v>656</v>
      </c>
      <c r="G205" s="38">
        <v>0</v>
      </c>
      <c r="H205" s="39">
        <v>298</v>
      </c>
    </row>
    <row r="206" spans="1:8" ht="19.95" customHeight="1" x14ac:dyDescent="0.3">
      <c r="A206" s="36" t="s">
        <v>294</v>
      </c>
      <c r="B206" s="37" t="s">
        <v>25</v>
      </c>
      <c r="C206" s="37" t="s">
        <v>38</v>
      </c>
      <c r="D206" s="37" t="s">
        <v>39</v>
      </c>
      <c r="E206" s="38">
        <v>36230</v>
      </c>
      <c r="F206" s="38">
        <v>5921</v>
      </c>
      <c r="G206" s="38">
        <v>0</v>
      </c>
      <c r="H206" s="39">
        <v>3766</v>
      </c>
    </row>
    <row r="207" spans="1:8" ht="19.95" customHeight="1" x14ac:dyDescent="0.3">
      <c r="A207" s="36" t="s">
        <v>295</v>
      </c>
      <c r="B207" s="37" t="s">
        <v>25</v>
      </c>
      <c r="C207" s="37" t="s">
        <v>38</v>
      </c>
      <c r="D207" s="37" t="s">
        <v>39</v>
      </c>
      <c r="E207" s="38">
        <v>419468</v>
      </c>
      <c r="F207" s="38">
        <v>732</v>
      </c>
      <c r="G207" s="38">
        <v>0</v>
      </c>
      <c r="H207" s="39">
        <v>88</v>
      </c>
    </row>
    <row r="208" spans="1:8" ht="19.95" customHeight="1" x14ac:dyDescent="0.3">
      <c r="A208" s="36" t="s">
        <v>296</v>
      </c>
      <c r="B208" s="37" t="s">
        <v>297</v>
      </c>
      <c r="C208" s="37" t="s">
        <v>22</v>
      </c>
      <c r="D208" s="37" t="s">
        <v>51</v>
      </c>
      <c r="E208" s="38">
        <v>1495856</v>
      </c>
      <c r="F208" s="38">
        <v>0</v>
      </c>
      <c r="G208" s="38">
        <v>0</v>
      </c>
      <c r="H208" s="39">
        <v>0</v>
      </c>
    </row>
    <row r="209" spans="1:8" ht="19.95" customHeight="1" x14ac:dyDescent="0.3">
      <c r="A209" s="36" t="s">
        <v>298</v>
      </c>
      <c r="B209" s="37" t="s">
        <v>21</v>
      </c>
      <c r="C209" s="37" t="s">
        <v>34</v>
      </c>
      <c r="D209" s="37" t="s">
        <v>280</v>
      </c>
      <c r="E209" s="38">
        <v>31191</v>
      </c>
      <c r="F209" s="38">
        <v>0</v>
      </c>
      <c r="G209" s="38">
        <v>0</v>
      </c>
      <c r="H209" s="39">
        <v>0</v>
      </c>
    </row>
    <row r="210" spans="1:8" ht="19.95" customHeight="1" x14ac:dyDescent="0.3">
      <c r="A210" s="36" t="s">
        <v>299</v>
      </c>
      <c r="B210" s="37" t="s">
        <v>25</v>
      </c>
      <c r="C210" s="37" t="s">
        <v>86</v>
      </c>
      <c r="D210" s="37" t="s">
        <v>110</v>
      </c>
      <c r="E210" s="38">
        <v>699389</v>
      </c>
      <c r="F210" s="38">
        <v>59081</v>
      </c>
      <c r="G210" s="38">
        <v>25850</v>
      </c>
      <c r="H210" s="39">
        <v>10361</v>
      </c>
    </row>
    <row r="211" spans="1:8" ht="19.95" customHeight="1" x14ac:dyDescent="0.3">
      <c r="A211" s="36" t="s">
        <v>300</v>
      </c>
      <c r="B211" s="37" t="s">
        <v>144</v>
      </c>
      <c r="C211" s="37" t="s">
        <v>22</v>
      </c>
      <c r="D211" s="37" t="s">
        <v>138</v>
      </c>
      <c r="E211" s="38">
        <v>182463</v>
      </c>
      <c r="F211" s="38">
        <v>0</v>
      </c>
      <c r="G211" s="38">
        <v>0</v>
      </c>
      <c r="H211" s="39">
        <v>25</v>
      </c>
    </row>
    <row r="212" spans="1:8" ht="19.95" customHeight="1" x14ac:dyDescent="0.3">
      <c r="A212" s="36" t="s">
        <v>301</v>
      </c>
      <c r="B212" s="37" t="s">
        <v>21</v>
      </c>
      <c r="C212" s="37" t="s">
        <v>38</v>
      </c>
      <c r="D212" s="37" t="s">
        <v>39</v>
      </c>
      <c r="E212" s="38">
        <v>1336008</v>
      </c>
      <c r="F212" s="38">
        <v>0</v>
      </c>
      <c r="G212" s="38">
        <v>0</v>
      </c>
      <c r="H212" s="39">
        <v>0</v>
      </c>
    </row>
    <row r="213" spans="1:8" ht="19.95" customHeight="1" x14ac:dyDescent="0.3">
      <c r="A213" s="36" t="s">
        <v>302</v>
      </c>
      <c r="B213" s="37" t="s">
        <v>21</v>
      </c>
      <c r="C213" s="37" t="s">
        <v>86</v>
      </c>
      <c r="D213" s="37" t="s">
        <v>216</v>
      </c>
      <c r="E213" s="38">
        <v>81652</v>
      </c>
      <c r="F213" s="38">
        <v>0</v>
      </c>
      <c r="G213" s="38">
        <v>0</v>
      </c>
      <c r="H213" s="39">
        <v>0</v>
      </c>
    </row>
    <row r="214" spans="1:8" ht="19.95" customHeight="1" x14ac:dyDescent="0.3">
      <c r="A214" s="36" t="s">
        <v>303</v>
      </c>
      <c r="B214" s="37" t="s">
        <v>44</v>
      </c>
      <c r="C214" s="37" t="s">
        <v>34</v>
      </c>
      <c r="D214" s="37" t="s">
        <v>214</v>
      </c>
      <c r="E214" s="38">
        <v>10867</v>
      </c>
      <c r="F214" s="38">
        <v>0</v>
      </c>
      <c r="G214" s="38">
        <v>0</v>
      </c>
      <c r="H214" s="39">
        <v>0</v>
      </c>
    </row>
    <row r="215" spans="1:8" ht="19.95" customHeight="1" x14ac:dyDescent="0.3">
      <c r="A215" s="36" t="s">
        <v>304</v>
      </c>
      <c r="B215" s="37" t="s">
        <v>25</v>
      </c>
      <c r="C215" s="37" t="s">
        <v>38</v>
      </c>
      <c r="D215" s="37" t="s">
        <v>39</v>
      </c>
      <c r="E215" s="38">
        <v>17233</v>
      </c>
      <c r="F215" s="38">
        <v>0</v>
      </c>
      <c r="G215" s="38">
        <v>0</v>
      </c>
      <c r="H215" s="39">
        <v>6301</v>
      </c>
    </row>
    <row r="216" spans="1:8" ht="19.95" customHeight="1" x14ac:dyDescent="0.3">
      <c r="A216" s="36" t="s">
        <v>305</v>
      </c>
      <c r="B216" s="37" t="s">
        <v>67</v>
      </c>
      <c r="C216" s="37" t="s">
        <v>57</v>
      </c>
      <c r="D216" s="37" t="s">
        <v>78</v>
      </c>
      <c r="E216" s="38">
        <v>4344305</v>
      </c>
      <c r="F216" s="38">
        <v>0</v>
      </c>
      <c r="G216" s="38">
        <v>0</v>
      </c>
      <c r="H216" s="39">
        <v>0</v>
      </c>
    </row>
    <row r="217" spans="1:8" ht="19.95" customHeight="1" x14ac:dyDescent="0.3">
      <c r="A217" s="36" t="s">
        <v>306</v>
      </c>
      <c r="B217" s="37" t="s">
        <v>49</v>
      </c>
      <c r="C217" s="37" t="s">
        <v>86</v>
      </c>
      <c r="D217" s="37" t="s">
        <v>216</v>
      </c>
      <c r="E217" s="38">
        <v>30815</v>
      </c>
      <c r="F217" s="38">
        <v>3502</v>
      </c>
      <c r="G217" s="38">
        <v>0</v>
      </c>
      <c r="H217" s="39">
        <v>667</v>
      </c>
    </row>
    <row r="218" spans="1:8" ht="19.95" customHeight="1" x14ac:dyDescent="0.3">
      <c r="A218" s="36" t="s">
        <v>307</v>
      </c>
      <c r="B218" s="37" t="s">
        <v>25</v>
      </c>
      <c r="C218" s="37" t="s">
        <v>38</v>
      </c>
      <c r="D218" s="37" t="s">
        <v>39</v>
      </c>
      <c r="E218" s="38">
        <v>18505</v>
      </c>
      <c r="F218" s="38">
        <v>0</v>
      </c>
      <c r="G218" s="38">
        <v>0</v>
      </c>
      <c r="H218" s="39">
        <v>7760</v>
      </c>
    </row>
    <row r="219" spans="1:8" ht="19.95" customHeight="1" x14ac:dyDescent="0.3">
      <c r="A219" s="36" t="s">
        <v>308</v>
      </c>
      <c r="B219" s="37" t="s">
        <v>49</v>
      </c>
      <c r="C219" s="37" t="s">
        <v>86</v>
      </c>
      <c r="D219" s="37" t="s">
        <v>249</v>
      </c>
      <c r="E219" s="38">
        <v>6412854</v>
      </c>
      <c r="F219" s="38">
        <v>46232</v>
      </c>
      <c r="G219" s="38">
        <v>58841</v>
      </c>
      <c r="H219" s="39">
        <v>29848</v>
      </c>
    </row>
    <row r="220" spans="1:8" ht="19.95" customHeight="1" x14ac:dyDescent="0.3">
      <c r="A220" s="36" t="s">
        <v>309</v>
      </c>
      <c r="B220" s="37" t="s">
        <v>49</v>
      </c>
      <c r="C220" s="37" t="s">
        <v>41</v>
      </c>
      <c r="D220" s="37" t="s">
        <v>42</v>
      </c>
      <c r="E220" s="38">
        <v>1212905</v>
      </c>
      <c r="F220" s="38">
        <v>10819</v>
      </c>
      <c r="G220" s="38">
        <v>49097</v>
      </c>
      <c r="H220" s="39">
        <v>0</v>
      </c>
    </row>
    <row r="221" spans="1:8" ht="19.95" customHeight="1" x14ac:dyDescent="0.3">
      <c r="A221" s="36" t="s">
        <v>310</v>
      </c>
      <c r="B221" s="37" t="s">
        <v>49</v>
      </c>
      <c r="C221" s="37" t="s">
        <v>86</v>
      </c>
      <c r="D221" s="37" t="s">
        <v>216</v>
      </c>
      <c r="E221" s="38">
        <v>1091489</v>
      </c>
      <c r="F221" s="38">
        <v>49658</v>
      </c>
      <c r="G221" s="38">
        <v>59198</v>
      </c>
      <c r="H221" s="39">
        <v>2755</v>
      </c>
    </row>
    <row r="222" spans="1:8" ht="19.95" customHeight="1" x14ac:dyDescent="0.3">
      <c r="A222" s="36" t="s">
        <v>311</v>
      </c>
      <c r="B222" s="37" t="s">
        <v>25</v>
      </c>
      <c r="C222" s="37" t="s">
        <v>86</v>
      </c>
      <c r="D222" s="37" t="s">
        <v>110</v>
      </c>
      <c r="E222" s="38">
        <v>357651</v>
      </c>
      <c r="F222" s="38">
        <v>42267</v>
      </c>
      <c r="G222" s="38">
        <v>23775</v>
      </c>
      <c r="H222" s="39">
        <v>1130</v>
      </c>
    </row>
    <row r="223" spans="1:8" ht="19.95" customHeight="1" x14ac:dyDescent="0.3">
      <c r="A223" s="36" t="s">
        <v>312</v>
      </c>
      <c r="B223" s="37" t="s">
        <v>31</v>
      </c>
      <c r="C223" s="37" t="s">
        <v>86</v>
      </c>
      <c r="D223" s="37" t="s">
        <v>110</v>
      </c>
      <c r="E223" s="38">
        <v>127563</v>
      </c>
      <c r="F223" s="38">
        <v>4799</v>
      </c>
      <c r="G223" s="38">
        <v>2826</v>
      </c>
      <c r="H223" s="39">
        <v>2</v>
      </c>
    </row>
    <row r="224" spans="1:8" ht="19.95" customHeight="1" x14ac:dyDescent="0.3">
      <c r="A224" s="36" t="s">
        <v>313</v>
      </c>
      <c r="B224" s="37" t="s">
        <v>67</v>
      </c>
      <c r="C224" s="37" t="s">
        <v>57</v>
      </c>
      <c r="D224" s="37" t="s">
        <v>78</v>
      </c>
      <c r="E224" s="38">
        <v>241358</v>
      </c>
      <c r="F224" s="38">
        <v>0</v>
      </c>
      <c r="G224" s="38">
        <v>0</v>
      </c>
      <c r="H224" s="39">
        <v>0</v>
      </c>
    </row>
    <row r="225" spans="1:8" ht="19.95" customHeight="1" x14ac:dyDescent="0.3">
      <c r="A225" s="36" t="s">
        <v>314</v>
      </c>
      <c r="B225" s="37" t="s">
        <v>21</v>
      </c>
      <c r="C225" s="37" t="s">
        <v>86</v>
      </c>
      <c r="D225" s="37" t="s">
        <v>159</v>
      </c>
      <c r="E225" s="38">
        <v>267118</v>
      </c>
      <c r="F225" s="38">
        <v>0</v>
      </c>
      <c r="G225" s="38">
        <v>0</v>
      </c>
      <c r="H225" s="39">
        <v>0</v>
      </c>
    </row>
    <row r="226" spans="1:8" ht="19.95" customHeight="1" x14ac:dyDescent="0.3">
      <c r="A226" s="36" t="s">
        <v>315</v>
      </c>
      <c r="B226" s="37" t="s">
        <v>67</v>
      </c>
      <c r="C226" s="37" t="s">
        <v>34</v>
      </c>
      <c r="D226" s="37" t="s">
        <v>231</v>
      </c>
      <c r="E226" s="38">
        <v>129904</v>
      </c>
      <c r="F226" s="38">
        <v>0</v>
      </c>
      <c r="G226" s="38">
        <v>0</v>
      </c>
      <c r="H226" s="39">
        <v>0</v>
      </c>
    </row>
    <row r="227" spans="1:8" ht="19.95" customHeight="1" x14ac:dyDescent="0.3">
      <c r="A227" s="36" t="s">
        <v>316</v>
      </c>
      <c r="B227" s="37" t="s">
        <v>44</v>
      </c>
      <c r="C227" s="37" t="s">
        <v>34</v>
      </c>
      <c r="D227" s="37" t="s">
        <v>317</v>
      </c>
      <c r="E227" s="38">
        <v>154522</v>
      </c>
      <c r="F227" s="38">
        <v>0</v>
      </c>
      <c r="G227" s="38">
        <v>0</v>
      </c>
      <c r="H227" s="39">
        <v>0</v>
      </c>
    </row>
    <row r="228" spans="1:8" ht="19.95" customHeight="1" x14ac:dyDescent="0.3">
      <c r="A228" s="36" t="s">
        <v>318</v>
      </c>
      <c r="B228" s="37" t="s">
        <v>67</v>
      </c>
      <c r="C228" s="37" t="s">
        <v>57</v>
      </c>
      <c r="D228" s="37" t="s">
        <v>78</v>
      </c>
      <c r="E228" s="38">
        <v>8479349</v>
      </c>
      <c r="F228" s="38">
        <v>0</v>
      </c>
      <c r="G228" s="38">
        <v>0</v>
      </c>
      <c r="H228" s="39">
        <v>0</v>
      </c>
    </row>
    <row r="229" spans="1:8" ht="19.95" customHeight="1" x14ac:dyDescent="0.3">
      <c r="A229" s="36" t="s">
        <v>319</v>
      </c>
      <c r="B229" s="37" t="s">
        <v>31</v>
      </c>
      <c r="C229" s="37" t="s">
        <v>41</v>
      </c>
      <c r="D229" s="37" t="s">
        <v>87</v>
      </c>
      <c r="E229" s="38">
        <v>111825</v>
      </c>
      <c r="F229" s="38">
        <v>0</v>
      </c>
      <c r="G229" s="38">
        <v>0</v>
      </c>
      <c r="H229" s="39">
        <v>0</v>
      </c>
    </row>
    <row r="230" spans="1:8" ht="19.95" customHeight="1" x14ac:dyDescent="0.3">
      <c r="A230" s="36" t="s">
        <v>320</v>
      </c>
      <c r="B230" s="37" t="s">
        <v>81</v>
      </c>
      <c r="C230" s="37" t="s">
        <v>22</v>
      </c>
      <c r="D230" s="37" t="s">
        <v>271</v>
      </c>
      <c r="E230" s="38">
        <v>763209</v>
      </c>
      <c r="F230" s="38">
        <v>0</v>
      </c>
      <c r="G230" s="38">
        <v>0</v>
      </c>
      <c r="H230" s="39">
        <v>0</v>
      </c>
    </row>
    <row r="231" spans="1:8" ht="19.95" customHeight="1" x14ac:dyDescent="0.3">
      <c r="A231" s="36" t="s">
        <v>321</v>
      </c>
      <c r="B231" s="37" t="s">
        <v>44</v>
      </c>
      <c r="C231" s="37" t="s">
        <v>34</v>
      </c>
      <c r="D231" s="37" t="s">
        <v>68</v>
      </c>
      <c r="E231" s="38">
        <v>63767</v>
      </c>
      <c r="F231" s="38">
        <v>0</v>
      </c>
      <c r="G231" s="38">
        <v>0</v>
      </c>
      <c r="H231" s="39">
        <v>0</v>
      </c>
    </row>
    <row r="232" spans="1:8" ht="19.95" customHeight="1" x14ac:dyDescent="0.3">
      <c r="A232" s="36" t="s">
        <v>322</v>
      </c>
      <c r="B232" s="37" t="s">
        <v>44</v>
      </c>
      <c r="C232" s="37" t="s">
        <v>26</v>
      </c>
      <c r="D232" s="37" t="s">
        <v>29</v>
      </c>
      <c r="E232" s="38">
        <v>51496</v>
      </c>
      <c r="F232" s="38">
        <v>0</v>
      </c>
      <c r="G232" s="38">
        <v>0</v>
      </c>
      <c r="H232" s="39">
        <v>0</v>
      </c>
    </row>
    <row r="233" spans="1:8" ht="19.95" customHeight="1" x14ac:dyDescent="0.3">
      <c r="A233" s="36" t="s">
        <v>323</v>
      </c>
      <c r="B233" s="37" t="s">
        <v>21</v>
      </c>
      <c r="C233" s="37" t="s">
        <v>26</v>
      </c>
      <c r="D233" s="37" t="s">
        <v>29</v>
      </c>
      <c r="E233" s="38">
        <v>264456</v>
      </c>
      <c r="F233" s="38">
        <v>0</v>
      </c>
      <c r="G233" s="38">
        <v>0</v>
      </c>
      <c r="H233" s="39">
        <v>0</v>
      </c>
    </row>
    <row r="234" spans="1:8" ht="19.95" customHeight="1" x14ac:dyDescent="0.3">
      <c r="A234" s="36" t="s">
        <v>324</v>
      </c>
      <c r="B234" s="37" t="s">
        <v>21</v>
      </c>
      <c r="C234" s="37" t="s">
        <v>41</v>
      </c>
      <c r="D234" s="37" t="s">
        <v>42</v>
      </c>
      <c r="E234" s="38">
        <v>119278</v>
      </c>
      <c r="F234" s="38">
        <v>0</v>
      </c>
      <c r="G234" s="38">
        <v>0</v>
      </c>
      <c r="H234" s="39">
        <v>0</v>
      </c>
    </row>
    <row r="235" spans="1:8" ht="19.95" customHeight="1" x14ac:dyDescent="0.3">
      <c r="A235" s="36" t="s">
        <v>325</v>
      </c>
      <c r="B235" s="37" t="s">
        <v>44</v>
      </c>
      <c r="C235" s="37" t="s">
        <v>26</v>
      </c>
      <c r="D235" s="37" t="s">
        <v>63</v>
      </c>
      <c r="E235" s="38">
        <v>6310</v>
      </c>
      <c r="F235" s="38">
        <v>0</v>
      </c>
      <c r="G235" s="38">
        <v>0</v>
      </c>
      <c r="H235" s="39">
        <v>0</v>
      </c>
    </row>
    <row r="236" spans="1:8" ht="19.95" customHeight="1" x14ac:dyDescent="0.3">
      <c r="A236" s="36" t="s">
        <v>326</v>
      </c>
      <c r="B236" s="37" t="s">
        <v>25</v>
      </c>
      <c r="C236" s="37" t="s">
        <v>22</v>
      </c>
      <c r="D236" s="37" t="s">
        <v>23</v>
      </c>
      <c r="E236" s="38">
        <v>747042</v>
      </c>
      <c r="F236" s="38">
        <v>55032</v>
      </c>
      <c r="G236" s="38">
        <v>22459</v>
      </c>
      <c r="H236" s="39">
        <v>4562</v>
      </c>
    </row>
    <row r="237" spans="1:8" ht="19.95" customHeight="1" x14ac:dyDescent="0.3">
      <c r="A237" s="36" t="s">
        <v>327</v>
      </c>
      <c r="B237" s="37" t="s">
        <v>297</v>
      </c>
      <c r="C237" s="37" t="s">
        <v>57</v>
      </c>
      <c r="D237" s="37" t="s">
        <v>63</v>
      </c>
      <c r="E237" s="38">
        <v>541965</v>
      </c>
      <c r="F237" s="38">
        <v>0</v>
      </c>
      <c r="G237" s="38">
        <v>0</v>
      </c>
      <c r="H237" s="39">
        <v>0</v>
      </c>
    </row>
    <row r="238" spans="1:8" ht="19.95" customHeight="1" x14ac:dyDescent="0.3">
      <c r="A238" s="36" t="s">
        <v>328</v>
      </c>
      <c r="B238" s="37" t="s">
        <v>21</v>
      </c>
      <c r="C238" s="37" t="s">
        <v>41</v>
      </c>
      <c r="D238" s="37" t="s">
        <v>73</v>
      </c>
      <c r="E238" s="38">
        <v>74693</v>
      </c>
      <c r="F238" s="38">
        <v>0</v>
      </c>
      <c r="G238" s="38">
        <v>0</v>
      </c>
      <c r="H238" s="39">
        <v>0</v>
      </c>
    </row>
    <row r="239" spans="1:8" ht="19.95" customHeight="1" x14ac:dyDescent="0.3">
      <c r="A239" s="36" t="s">
        <v>329</v>
      </c>
      <c r="B239" s="37" t="s">
        <v>44</v>
      </c>
      <c r="C239" s="37" t="s">
        <v>86</v>
      </c>
      <c r="D239" s="37" t="s">
        <v>110</v>
      </c>
      <c r="E239" s="38">
        <v>93854</v>
      </c>
      <c r="F239" s="38">
        <v>0</v>
      </c>
      <c r="G239" s="38">
        <v>0</v>
      </c>
      <c r="H239" s="39">
        <v>0</v>
      </c>
    </row>
    <row r="240" spans="1:8" ht="19.95" customHeight="1" x14ac:dyDescent="0.3">
      <c r="A240" s="36" t="s">
        <v>330</v>
      </c>
      <c r="B240" s="37" t="s">
        <v>21</v>
      </c>
      <c r="C240" s="37" t="s">
        <v>26</v>
      </c>
      <c r="D240" s="37" t="s">
        <v>331</v>
      </c>
      <c r="E240" s="38">
        <v>81713</v>
      </c>
      <c r="F240" s="38">
        <v>0</v>
      </c>
      <c r="G240" s="38">
        <v>0</v>
      </c>
      <c r="H240" s="39">
        <v>0</v>
      </c>
    </row>
    <row r="241" spans="1:8" ht="19.95" customHeight="1" x14ac:dyDescent="0.3">
      <c r="A241" s="36" t="s">
        <v>332</v>
      </c>
      <c r="B241" s="37" t="s">
        <v>67</v>
      </c>
      <c r="C241" s="37" t="s">
        <v>57</v>
      </c>
      <c r="D241" s="37" t="s">
        <v>78</v>
      </c>
      <c r="E241" s="38">
        <v>3251594</v>
      </c>
      <c r="F241" s="38">
        <v>0</v>
      </c>
      <c r="G241" s="38">
        <v>0</v>
      </c>
      <c r="H241" s="39">
        <v>0</v>
      </c>
    </row>
    <row r="242" spans="1:8" ht="19.95" customHeight="1" x14ac:dyDescent="0.3">
      <c r="A242" s="36" t="s">
        <v>333</v>
      </c>
      <c r="B242" s="37" t="s">
        <v>21</v>
      </c>
      <c r="C242" s="37" t="s">
        <v>22</v>
      </c>
      <c r="D242" s="37" t="s">
        <v>51</v>
      </c>
      <c r="E242" s="38">
        <v>1159438</v>
      </c>
      <c r="F242" s="38">
        <v>0</v>
      </c>
      <c r="G242" s="38">
        <v>0</v>
      </c>
      <c r="H242" s="39">
        <v>0</v>
      </c>
    </row>
    <row r="243" spans="1:8" ht="19.95" customHeight="1" x14ac:dyDescent="0.3">
      <c r="A243" s="36" t="s">
        <v>334</v>
      </c>
      <c r="B243" s="37" t="s">
        <v>44</v>
      </c>
      <c r="C243" s="37" t="s">
        <v>26</v>
      </c>
      <c r="D243" s="37" t="s">
        <v>32</v>
      </c>
      <c r="E243" s="38">
        <v>17712</v>
      </c>
      <c r="F243" s="38">
        <v>0</v>
      </c>
      <c r="G243" s="38">
        <v>0</v>
      </c>
      <c r="H243" s="39">
        <v>0</v>
      </c>
    </row>
    <row r="244" spans="1:8" ht="19.95" customHeight="1" x14ac:dyDescent="0.3">
      <c r="A244" s="36" t="s">
        <v>335</v>
      </c>
      <c r="B244" s="37" t="s">
        <v>44</v>
      </c>
      <c r="C244" s="37" t="s">
        <v>57</v>
      </c>
      <c r="D244" s="37" t="s">
        <v>78</v>
      </c>
      <c r="E244" s="38">
        <v>3338</v>
      </c>
      <c r="F244" s="38">
        <v>0</v>
      </c>
      <c r="G244" s="38">
        <v>0</v>
      </c>
      <c r="H244" s="39">
        <v>0</v>
      </c>
    </row>
    <row r="245" spans="1:8" ht="19.95" customHeight="1" x14ac:dyDescent="0.3">
      <c r="A245" s="36" t="s">
        <v>336</v>
      </c>
      <c r="B245" s="37" t="s">
        <v>31</v>
      </c>
      <c r="C245" s="37" t="s">
        <v>22</v>
      </c>
      <c r="D245" s="37" t="s">
        <v>184</v>
      </c>
      <c r="E245" s="38">
        <v>71554</v>
      </c>
      <c r="F245" s="38">
        <v>0</v>
      </c>
      <c r="G245" s="38">
        <v>0</v>
      </c>
      <c r="H245" s="39">
        <v>0</v>
      </c>
    </row>
    <row r="246" spans="1:8" ht="19.95" customHeight="1" x14ac:dyDescent="0.3">
      <c r="A246" s="36" t="s">
        <v>337</v>
      </c>
      <c r="B246" s="37" t="s">
        <v>25</v>
      </c>
      <c r="C246" s="37" t="s">
        <v>41</v>
      </c>
      <c r="D246" s="37" t="s">
        <v>47</v>
      </c>
      <c r="E246" s="38">
        <v>480065</v>
      </c>
      <c r="F246" s="38">
        <v>18141</v>
      </c>
      <c r="G246" s="38">
        <v>22206</v>
      </c>
      <c r="H246" s="39">
        <v>0</v>
      </c>
    </row>
    <row r="247" spans="1:8" ht="19.95" customHeight="1" x14ac:dyDescent="0.3">
      <c r="A247" s="36" t="s">
        <v>338</v>
      </c>
      <c r="B247" s="37" t="s">
        <v>31</v>
      </c>
      <c r="C247" s="37" t="s">
        <v>22</v>
      </c>
      <c r="D247" s="37" t="s">
        <v>23</v>
      </c>
      <c r="E247" s="38">
        <v>8579</v>
      </c>
      <c r="F247" s="38">
        <v>0</v>
      </c>
      <c r="G247" s="38">
        <v>0</v>
      </c>
      <c r="H247" s="39">
        <v>0</v>
      </c>
    </row>
    <row r="248" spans="1:8" ht="19.95" customHeight="1" x14ac:dyDescent="0.3">
      <c r="A248" s="36" t="s">
        <v>339</v>
      </c>
      <c r="B248" s="37" t="s">
        <v>44</v>
      </c>
      <c r="C248" s="37" t="s">
        <v>86</v>
      </c>
      <c r="D248" s="37" t="s">
        <v>151</v>
      </c>
      <c r="E248" s="38">
        <v>22025</v>
      </c>
      <c r="F248" s="38">
        <v>0</v>
      </c>
      <c r="G248" s="38">
        <v>0</v>
      </c>
      <c r="H248" s="39">
        <v>0</v>
      </c>
    </row>
    <row r="249" spans="1:8" ht="19.95" customHeight="1" x14ac:dyDescent="0.3">
      <c r="A249" s="36" t="s">
        <v>340</v>
      </c>
      <c r="B249" s="37" t="s">
        <v>21</v>
      </c>
      <c r="C249" s="37" t="s">
        <v>26</v>
      </c>
      <c r="D249" s="37" t="s">
        <v>29</v>
      </c>
      <c r="E249" s="38">
        <v>879316</v>
      </c>
      <c r="F249" s="38">
        <v>0</v>
      </c>
      <c r="G249" s="38">
        <v>0</v>
      </c>
      <c r="H249" s="39">
        <v>0</v>
      </c>
    </row>
    <row r="250" spans="1:8" ht="19.95" customHeight="1" x14ac:dyDescent="0.3">
      <c r="A250" s="36" t="s">
        <v>341</v>
      </c>
      <c r="B250" s="37" t="s">
        <v>44</v>
      </c>
      <c r="C250" s="37" t="s">
        <v>34</v>
      </c>
      <c r="D250" s="37" t="s">
        <v>75</v>
      </c>
      <c r="E250" s="38">
        <v>118108</v>
      </c>
      <c r="F250" s="38">
        <v>0</v>
      </c>
      <c r="G250" s="38">
        <v>0</v>
      </c>
      <c r="H250" s="39">
        <v>0</v>
      </c>
    </row>
    <row r="251" spans="1:8" ht="19.95" customHeight="1" x14ac:dyDescent="0.3">
      <c r="A251" s="36" t="s">
        <v>342</v>
      </c>
      <c r="B251" s="37" t="s">
        <v>89</v>
      </c>
      <c r="C251" s="37" t="s">
        <v>34</v>
      </c>
      <c r="D251" s="37" t="s">
        <v>245</v>
      </c>
      <c r="E251" s="38">
        <v>256133</v>
      </c>
      <c r="F251" s="38">
        <v>0</v>
      </c>
      <c r="G251" s="38">
        <v>0</v>
      </c>
      <c r="H251" s="39">
        <v>0</v>
      </c>
    </row>
    <row r="252" spans="1:8" ht="19.95" customHeight="1" x14ac:dyDescent="0.3">
      <c r="A252" s="36" t="s">
        <v>343</v>
      </c>
      <c r="B252" s="37" t="s">
        <v>37</v>
      </c>
      <c r="C252" s="37" t="s">
        <v>34</v>
      </c>
      <c r="D252" s="37" t="s">
        <v>75</v>
      </c>
      <c r="E252" s="38">
        <v>153521</v>
      </c>
      <c r="F252" s="38">
        <v>0</v>
      </c>
      <c r="G252" s="38">
        <v>0</v>
      </c>
      <c r="H252" s="39">
        <v>0</v>
      </c>
    </row>
    <row r="253" spans="1:8" ht="19.95" customHeight="1" x14ac:dyDescent="0.3">
      <c r="A253" s="36" t="s">
        <v>344</v>
      </c>
      <c r="B253" s="37" t="s">
        <v>81</v>
      </c>
      <c r="C253" s="37" t="s">
        <v>86</v>
      </c>
      <c r="D253" s="37" t="s">
        <v>110</v>
      </c>
      <c r="E253" s="38">
        <v>424864</v>
      </c>
      <c r="F253" s="38">
        <v>1355</v>
      </c>
      <c r="G253" s="38">
        <v>1230</v>
      </c>
      <c r="H253" s="39">
        <v>0</v>
      </c>
    </row>
    <row r="254" spans="1:8" ht="19.95" customHeight="1" x14ac:dyDescent="0.3">
      <c r="A254" s="36" t="s">
        <v>345</v>
      </c>
      <c r="B254" s="37" t="s">
        <v>56</v>
      </c>
      <c r="C254" s="37" t="s">
        <v>57</v>
      </c>
      <c r="D254" s="37" t="s">
        <v>58</v>
      </c>
      <c r="E254" s="38">
        <v>116520</v>
      </c>
      <c r="F254" s="38">
        <v>0</v>
      </c>
      <c r="G254" s="38">
        <v>0</v>
      </c>
      <c r="H254" s="39">
        <v>0</v>
      </c>
    </row>
    <row r="255" spans="1:8" ht="19.95" customHeight="1" x14ac:dyDescent="0.3">
      <c r="A255" s="36" t="s">
        <v>346</v>
      </c>
      <c r="B255" s="37" t="s">
        <v>31</v>
      </c>
      <c r="C255" s="37" t="s">
        <v>41</v>
      </c>
      <c r="D255" s="37" t="s">
        <v>116</v>
      </c>
      <c r="E255" s="38">
        <v>379967</v>
      </c>
      <c r="F255" s="38">
        <v>0</v>
      </c>
      <c r="G255" s="38">
        <v>0</v>
      </c>
      <c r="H255" s="39">
        <v>0</v>
      </c>
    </row>
    <row r="256" spans="1:8" ht="19.95" customHeight="1" x14ac:dyDescent="0.3">
      <c r="A256" s="36" t="s">
        <v>347</v>
      </c>
      <c r="B256" s="37" t="s">
        <v>56</v>
      </c>
      <c r="C256" s="37" t="s">
        <v>22</v>
      </c>
      <c r="D256" s="37" t="s">
        <v>96</v>
      </c>
      <c r="E256" s="38">
        <v>69079</v>
      </c>
      <c r="F256" s="38">
        <v>0</v>
      </c>
      <c r="G256" s="38">
        <v>0</v>
      </c>
      <c r="H256" s="39">
        <v>0</v>
      </c>
    </row>
    <row r="257" spans="1:8" ht="19.95" customHeight="1" x14ac:dyDescent="0.3">
      <c r="A257" s="36" t="s">
        <v>348</v>
      </c>
      <c r="B257" s="37" t="s">
        <v>21</v>
      </c>
      <c r="C257" s="37" t="s">
        <v>26</v>
      </c>
      <c r="D257" s="37" t="s">
        <v>349</v>
      </c>
      <c r="E257" s="38">
        <v>208138</v>
      </c>
      <c r="F257" s="38">
        <v>0</v>
      </c>
      <c r="G257" s="38">
        <v>0</v>
      </c>
      <c r="H257" s="39">
        <v>0</v>
      </c>
    </row>
    <row r="258" spans="1:8" ht="19.95" customHeight="1" x14ac:dyDescent="0.3">
      <c r="A258" s="36" t="s">
        <v>350</v>
      </c>
      <c r="B258" s="37" t="s">
        <v>25</v>
      </c>
      <c r="C258" s="37" t="s">
        <v>86</v>
      </c>
      <c r="D258" s="37" t="s">
        <v>216</v>
      </c>
      <c r="E258" s="38">
        <v>1620006</v>
      </c>
      <c r="F258" s="38">
        <v>52110</v>
      </c>
      <c r="G258" s="38">
        <v>29983</v>
      </c>
      <c r="H258" s="39">
        <v>53823</v>
      </c>
    </row>
    <row r="259" spans="1:8" ht="19.95" customHeight="1" x14ac:dyDescent="0.3">
      <c r="A259" s="36" t="s">
        <v>351</v>
      </c>
      <c r="B259" s="37" t="s">
        <v>67</v>
      </c>
      <c r="C259" s="37" t="s">
        <v>34</v>
      </c>
      <c r="D259" s="37" t="s">
        <v>75</v>
      </c>
      <c r="E259" s="38">
        <v>1850329</v>
      </c>
      <c r="F259" s="38">
        <v>0</v>
      </c>
      <c r="G259" s="38">
        <v>0</v>
      </c>
      <c r="H259" s="39">
        <v>0</v>
      </c>
    </row>
    <row r="260" spans="1:8" ht="19.95" customHeight="1" x14ac:dyDescent="0.3">
      <c r="A260" s="36" t="s">
        <v>352</v>
      </c>
      <c r="B260" s="37" t="s">
        <v>31</v>
      </c>
      <c r="C260" s="37" t="s">
        <v>86</v>
      </c>
      <c r="D260" s="37" t="s">
        <v>110</v>
      </c>
      <c r="E260" s="38">
        <v>792494</v>
      </c>
      <c r="F260" s="38">
        <v>0</v>
      </c>
      <c r="G260" s="38">
        <v>0</v>
      </c>
      <c r="H260" s="39">
        <v>0</v>
      </c>
    </row>
    <row r="261" spans="1:8" ht="19.95" customHeight="1" x14ac:dyDescent="0.3">
      <c r="A261" s="36" t="s">
        <v>353</v>
      </c>
      <c r="B261" s="37" t="s">
        <v>21</v>
      </c>
      <c r="C261" s="37" t="s">
        <v>22</v>
      </c>
      <c r="D261" s="37" t="s">
        <v>184</v>
      </c>
      <c r="E261" s="38">
        <v>21520</v>
      </c>
      <c r="F261" s="38">
        <v>0</v>
      </c>
      <c r="G261" s="38">
        <v>0</v>
      </c>
      <c r="H261" s="39">
        <v>0</v>
      </c>
    </row>
    <row r="262" spans="1:8" ht="19.95" customHeight="1" x14ac:dyDescent="0.3">
      <c r="A262" s="36" t="s">
        <v>354</v>
      </c>
      <c r="B262" s="37" t="s">
        <v>95</v>
      </c>
      <c r="C262" s="37" t="s">
        <v>22</v>
      </c>
      <c r="D262" s="37" t="s">
        <v>184</v>
      </c>
      <c r="E262" s="38">
        <v>7364833</v>
      </c>
      <c r="F262" s="38">
        <v>9288</v>
      </c>
      <c r="G262" s="38">
        <v>13761</v>
      </c>
      <c r="H262" s="39">
        <v>0</v>
      </c>
    </row>
    <row r="263" spans="1:8" ht="19.95" customHeight="1" x14ac:dyDescent="0.3">
      <c r="A263" s="36" t="s">
        <v>355</v>
      </c>
      <c r="B263" s="37" t="s">
        <v>131</v>
      </c>
      <c r="C263" s="37" t="s">
        <v>57</v>
      </c>
      <c r="D263" s="37" t="s">
        <v>78</v>
      </c>
      <c r="E263" s="38">
        <v>1034341</v>
      </c>
      <c r="F263" s="38">
        <v>0</v>
      </c>
      <c r="G263" s="38">
        <v>0</v>
      </c>
      <c r="H263" s="39">
        <v>0</v>
      </c>
    </row>
    <row r="264" spans="1:8" ht="19.95" customHeight="1" x14ac:dyDescent="0.3">
      <c r="A264" s="36" t="s">
        <v>356</v>
      </c>
      <c r="B264" s="37" t="s">
        <v>131</v>
      </c>
      <c r="C264" s="37" t="s">
        <v>57</v>
      </c>
      <c r="D264" s="37" t="s">
        <v>78</v>
      </c>
      <c r="E264" s="38">
        <v>1271126</v>
      </c>
      <c r="F264" s="38">
        <v>0</v>
      </c>
      <c r="G264" s="38">
        <v>0</v>
      </c>
      <c r="H264" s="39">
        <v>0</v>
      </c>
    </row>
    <row r="265" spans="1:8" ht="19.95" customHeight="1" x14ac:dyDescent="0.3">
      <c r="A265" s="36" t="s">
        <v>357</v>
      </c>
      <c r="B265" s="37" t="s">
        <v>25</v>
      </c>
      <c r="C265" s="37" t="s">
        <v>86</v>
      </c>
      <c r="D265" s="37" t="s">
        <v>358</v>
      </c>
      <c r="E265" s="38">
        <v>22567</v>
      </c>
      <c r="F265" s="38">
        <v>0</v>
      </c>
      <c r="G265" s="38">
        <v>0</v>
      </c>
      <c r="H265" s="39">
        <v>0</v>
      </c>
    </row>
    <row r="266" spans="1:8" ht="19.95" customHeight="1" x14ac:dyDescent="0.3">
      <c r="A266" s="36" t="s">
        <v>359</v>
      </c>
      <c r="B266" s="37" t="s">
        <v>31</v>
      </c>
      <c r="C266" s="37" t="s">
        <v>41</v>
      </c>
      <c r="D266" s="37" t="s">
        <v>65</v>
      </c>
      <c r="E266" s="38">
        <v>75680</v>
      </c>
      <c r="F266" s="38">
        <v>6907</v>
      </c>
      <c r="G266" s="38">
        <v>6041</v>
      </c>
      <c r="H266" s="39">
        <v>0</v>
      </c>
    </row>
    <row r="267" spans="1:8" ht="19.95" customHeight="1" x14ac:dyDescent="0.3">
      <c r="A267" s="36" t="s">
        <v>360</v>
      </c>
      <c r="B267" s="37" t="s">
        <v>31</v>
      </c>
      <c r="C267" s="37" t="s">
        <v>41</v>
      </c>
      <c r="D267" s="37" t="s">
        <v>116</v>
      </c>
      <c r="E267" s="38">
        <v>58442</v>
      </c>
      <c r="F267" s="38">
        <v>2134</v>
      </c>
      <c r="G267" s="38">
        <v>2509</v>
      </c>
      <c r="H267" s="39">
        <v>15</v>
      </c>
    </row>
    <row r="268" spans="1:8" ht="19.95" customHeight="1" x14ac:dyDescent="0.3">
      <c r="A268" s="36" t="s">
        <v>361</v>
      </c>
      <c r="B268" s="37" t="s">
        <v>21</v>
      </c>
      <c r="C268" s="37" t="s">
        <v>26</v>
      </c>
      <c r="D268" s="37" t="s">
        <v>29</v>
      </c>
      <c r="E268" s="38">
        <v>18330</v>
      </c>
      <c r="F268" s="38">
        <v>0</v>
      </c>
      <c r="G268" s="38">
        <v>0</v>
      </c>
      <c r="H268" s="39">
        <v>0</v>
      </c>
    </row>
    <row r="269" spans="1:8" ht="19.95" customHeight="1" x14ac:dyDescent="0.3">
      <c r="A269" s="36" t="s">
        <v>362</v>
      </c>
      <c r="B269" s="37" t="s">
        <v>21</v>
      </c>
      <c r="C269" s="37" t="s">
        <v>22</v>
      </c>
      <c r="D269" s="37" t="s">
        <v>114</v>
      </c>
      <c r="E269" s="38">
        <v>44943</v>
      </c>
      <c r="F269" s="38">
        <v>0</v>
      </c>
      <c r="G269" s="38">
        <v>0</v>
      </c>
      <c r="H269" s="39">
        <v>0</v>
      </c>
    </row>
    <row r="270" spans="1:8" ht="19.95" customHeight="1" x14ac:dyDescent="0.3">
      <c r="A270" s="36" t="s">
        <v>363</v>
      </c>
      <c r="B270" s="37" t="s">
        <v>25</v>
      </c>
      <c r="C270" s="37" t="s">
        <v>26</v>
      </c>
      <c r="D270" s="37" t="s">
        <v>98</v>
      </c>
      <c r="E270" s="38">
        <v>1811937</v>
      </c>
      <c r="F270" s="38">
        <v>17157</v>
      </c>
      <c r="G270" s="38">
        <v>10516</v>
      </c>
      <c r="H270" s="39">
        <v>12609</v>
      </c>
    </row>
    <row r="271" spans="1:8" ht="19.95" customHeight="1" x14ac:dyDescent="0.3">
      <c r="A271" s="36" t="s">
        <v>364</v>
      </c>
      <c r="B271" s="37" t="s">
        <v>21</v>
      </c>
      <c r="C271" s="37" t="s">
        <v>86</v>
      </c>
      <c r="D271" s="37" t="s">
        <v>151</v>
      </c>
      <c r="E271" s="38">
        <v>342924</v>
      </c>
      <c r="F271" s="38">
        <v>0</v>
      </c>
      <c r="G271" s="38">
        <v>0</v>
      </c>
      <c r="H271" s="39">
        <v>0</v>
      </c>
    </row>
    <row r="272" spans="1:8" ht="19.95" customHeight="1" x14ac:dyDescent="0.3">
      <c r="A272" s="36" t="s">
        <v>365</v>
      </c>
      <c r="B272" s="37" t="s">
        <v>44</v>
      </c>
      <c r="C272" s="37" t="s">
        <v>34</v>
      </c>
      <c r="D272" s="37" t="s">
        <v>104</v>
      </c>
      <c r="E272" s="38">
        <v>7535</v>
      </c>
      <c r="F272" s="38">
        <v>0</v>
      </c>
      <c r="G272" s="38">
        <v>0</v>
      </c>
      <c r="H272" s="39">
        <v>0</v>
      </c>
    </row>
    <row r="273" spans="1:8" ht="19.95" customHeight="1" x14ac:dyDescent="0.3">
      <c r="A273" s="36" t="s">
        <v>366</v>
      </c>
      <c r="B273" s="37" t="s">
        <v>44</v>
      </c>
      <c r="C273" s="37" t="s">
        <v>22</v>
      </c>
      <c r="D273" s="37" t="s">
        <v>138</v>
      </c>
      <c r="E273" s="38">
        <v>101352</v>
      </c>
      <c r="F273" s="38">
        <v>0</v>
      </c>
      <c r="G273" s="38">
        <v>0</v>
      </c>
      <c r="H273" s="39">
        <v>0</v>
      </c>
    </row>
    <row r="274" spans="1:8" ht="19.95" customHeight="1" x14ac:dyDescent="0.3">
      <c r="A274" s="36" t="s">
        <v>367</v>
      </c>
      <c r="B274" s="37" t="s">
        <v>37</v>
      </c>
      <c r="C274" s="37" t="s">
        <v>34</v>
      </c>
      <c r="D274" s="37" t="s">
        <v>35</v>
      </c>
      <c r="E274" s="38">
        <v>74387</v>
      </c>
      <c r="F274" s="38">
        <v>0</v>
      </c>
      <c r="G274" s="38">
        <v>0</v>
      </c>
      <c r="H274" s="39">
        <v>0</v>
      </c>
    </row>
    <row r="275" spans="1:8" ht="19.95" customHeight="1" x14ac:dyDescent="0.3">
      <c r="A275" s="36" t="s">
        <v>368</v>
      </c>
      <c r="B275" s="37" t="s">
        <v>81</v>
      </c>
      <c r="C275" s="37" t="s">
        <v>38</v>
      </c>
      <c r="D275" s="37" t="s">
        <v>39</v>
      </c>
      <c r="E275" s="38">
        <v>18311</v>
      </c>
      <c r="F275" s="38">
        <v>0</v>
      </c>
      <c r="G275" s="38">
        <v>0</v>
      </c>
      <c r="H275" s="39">
        <v>5354</v>
      </c>
    </row>
    <row r="276" spans="1:8" ht="19.95" customHeight="1" x14ac:dyDescent="0.3">
      <c r="A276" s="36" t="s">
        <v>369</v>
      </c>
      <c r="B276" s="37" t="s">
        <v>25</v>
      </c>
      <c r="C276" s="37" t="s">
        <v>86</v>
      </c>
      <c r="D276" s="37" t="s">
        <v>216</v>
      </c>
      <c r="E276" s="38">
        <v>16485</v>
      </c>
      <c r="F276" s="38">
        <v>0</v>
      </c>
      <c r="G276" s="38">
        <v>0</v>
      </c>
      <c r="H276" s="39">
        <v>12948</v>
      </c>
    </row>
    <row r="277" spans="1:8" ht="19.95" customHeight="1" x14ac:dyDescent="0.3">
      <c r="A277" s="36" t="s">
        <v>370</v>
      </c>
      <c r="B277" s="37" t="s">
        <v>37</v>
      </c>
      <c r="C277" s="37" t="s">
        <v>22</v>
      </c>
      <c r="D277" s="37" t="s">
        <v>53</v>
      </c>
      <c r="E277" s="38">
        <v>261732</v>
      </c>
      <c r="F277" s="38">
        <v>4029</v>
      </c>
      <c r="G277" s="38">
        <v>0</v>
      </c>
      <c r="H277" s="39">
        <v>717</v>
      </c>
    </row>
    <row r="278" spans="1:8" ht="19.95" customHeight="1" x14ac:dyDescent="0.3">
      <c r="A278" s="36" t="s">
        <v>371</v>
      </c>
      <c r="B278" s="37" t="s">
        <v>21</v>
      </c>
      <c r="C278" s="37" t="s">
        <v>22</v>
      </c>
      <c r="D278" s="37" t="s">
        <v>51</v>
      </c>
      <c r="E278" s="38">
        <v>141905</v>
      </c>
      <c r="F278" s="38">
        <v>0</v>
      </c>
      <c r="G278" s="38">
        <v>0</v>
      </c>
      <c r="H278" s="39">
        <v>0</v>
      </c>
    </row>
    <row r="279" spans="1:8" ht="19.95" customHeight="1" x14ac:dyDescent="0.3">
      <c r="A279" s="36" t="s">
        <v>372</v>
      </c>
      <c r="B279" s="37" t="s">
        <v>25</v>
      </c>
      <c r="C279" s="37" t="s">
        <v>86</v>
      </c>
      <c r="D279" s="37" t="s">
        <v>216</v>
      </c>
      <c r="E279" s="38">
        <v>3717267</v>
      </c>
      <c r="F279" s="38">
        <v>130274</v>
      </c>
      <c r="G279" s="38">
        <v>92181</v>
      </c>
      <c r="H279" s="39">
        <v>124736</v>
      </c>
    </row>
    <row r="280" spans="1:8" ht="19.95" customHeight="1" x14ac:dyDescent="0.3">
      <c r="A280" s="36" t="s">
        <v>373</v>
      </c>
      <c r="B280" s="37" t="s">
        <v>31</v>
      </c>
      <c r="C280" s="37" t="s">
        <v>86</v>
      </c>
      <c r="D280" s="37" t="s">
        <v>159</v>
      </c>
      <c r="E280" s="38">
        <v>94016</v>
      </c>
      <c r="F280" s="38">
        <v>357</v>
      </c>
      <c r="G280" s="38">
        <v>94</v>
      </c>
      <c r="H280" s="39">
        <v>0</v>
      </c>
    </row>
    <row r="281" spans="1:8" ht="19.95" customHeight="1" x14ac:dyDescent="0.3">
      <c r="A281" s="36" t="s">
        <v>374</v>
      </c>
      <c r="B281" s="37" t="s">
        <v>31</v>
      </c>
      <c r="C281" s="37" t="s">
        <v>41</v>
      </c>
      <c r="D281" s="37" t="s">
        <v>116</v>
      </c>
      <c r="E281" s="38">
        <v>182612</v>
      </c>
      <c r="F281" s="38">
        <v>16339</v>
      </c>
      <c r="G281" s="38">
        <v>57439</v>
      </c>
      <c r="H281" s="39">
        <v>47</v>
      </c>
    </row>
    <row r="282" spans="1:8" ht="19.95" customHeight="1" x14ac:dyDescent="0.3">
      <c r="A282" s="36" t="s">
        <v>375</v>
      </c>
      <c r="B282" s="37" t="s">
        <v>89</v>
      </c>
      <c r="C282" s="37" t="s">
        <v>34</v>
      </c>
      <c r="D282" s="37" t="s">
        <v>226</v>
      </c>
      <c r="E282" s="38">
        <v>1343779</v>
      </c>
      <c r="F282" s="38">
        <v>49488</v>
      </c>
      <c r="G282" s="38">
        <v>30900</v>
      </c>
      <c r="H282" s="39">
        <v>13736</v>
      </c>
    </row>
    <row r="283" spans="1:8" ht="19.95" customHeight="1" x14ac:dyDescent="0.3">
      <c r="A283" s="36" t="s">
        <v>376</v>
      </c>
      <c r="B283" s="37" t="s">
        <v>71</v>
      </c>
      <c r="C283" s="37" t="s">
        <v>41</v>
      </c>
      <c r="D283" s="37" t="s">
        <v>42</v>
      </c>
      <c r="E283" s="38">
        <v>514722</v>
      </c>
      <c r="F283" s="38">
        <v>7190</v>
      </c>
      <c r="G283" s="38">
        <v>25054</v>
      </c>
      <c r="H283" s="39">
        <v>13617</v>
      </c>
    </row>
    <row r="284" spans="1:8" ht="19.95" customHeight="1" x14ac:dyDescent="0.3">
      <c r="A284" s="36" t="s">
        <v>377</v>
      </c>
      <c r="B284" s="37" t="s">
        <v>21</v>
      </c>
      <c r="C284" s="37" t="s">
        <v>41</v>
      </c>
      <c r="D284" s="37" t="s">
        <v>42</v>
      </c>
      <c r="E284" s="38">
        <v>178946</v>
      </c>
      <c r="F284" s="38">
        <v>0</v>
      </c>
      <c r="G284" s="38">
        <v>0</v>
      </c>
      <c r="H284" s="39">
        <v>0</v>
      </c>
    </row>
    <row r="285" spans="1:8" ht="19.95" customHeight="1" x14ac:dyDescent="0.3">
      <c r="A285" s="36" t="s">
        <v>378</v>
      </c>
      <c r="B285" s="37" t="s">
        <v>21</v>
      </c>
      <c r="C285" s="37" t="s">
        <v>26</v>
      </c>
      <c r="D285" s="37" t="s">
        <v>349</v>
      </c>
      <c r="E285" s="38">
        <v>210741</v>
      </c>
      <c r="F285" s="38">
        <v>0</v>
      </c>
      <c r="G285" s="38">
        <v>0</v>
      </c>
      <c r="H285" s="39">
        <v>0</v>
      </c>
    </row>
    <row r="286" spans="1:8" ht="19.95" customHeight="1" x14ac:dyDescent="0.3">
      <c r="A286" s="36" t="s">
        <v>379</v>
      </c>
      <c r="B286" s="37" t="s">
        <v>144</v>
      </c>
      <c r="C286" s="37" t="s">
        <v>34</v>
      </c>
      <c r="D286" s="37" t="s">
        <v>68</v>
      </c>
      <c r="E286" s="38">
        <v>102621</v>
      </c>
      <c r="F286" s="38">
        <v>0</v>
      </c>
      <c r="G286" s="38">
        <v>0</v>
      </c>
      <c r="H286" s="39">
        <v>0</v>
      </c>
    </row>
    <row r="287" spans="1:8" ht="19.95" customHeight="1" x14ac:dyDescent="0.3">
      <c r="A287" s="36" t="s">
        <v>380</v>
      </c>
      <c r="B287" s="37" t="s">
        <v>67</v>
      </c>
      <c r="C287" s="37" t="s">
        <v>86</v>
      </c>
      <c r="D287" s="37" t="s">
        <v>258</v>
      </c>
      <c r="E287" s="38">
        <v>1588798</v>
      </c>
      <c r="F287" s="38">
        <v>0</v>
      </c>
      <c r="G287" s="38">
        <v>0</v>
      </c>
      <c r="H287" s="39">
        <v>0</v>
      </c>
    </row>
    <row r="288" spans="1:8" ht="19.95" customHeight="1" x14ac:dyDescent="0.3">
      <c r="A288" s="36" t="s">
        <v>381</v>
      </c>
      <c r="B288" s="37" t="s">
        <v>21</v>
      </c>
      <c r="C288" s="37" t="s">
        <v>41</v>
      </c>
      <c r="D288" s="37" t="s">
        <v>73</v>
      </c>
      <c r="E288" s="38">
        <v>46726</v>
      </c>
      <c r="F288" s="38">
        <v>0</v>
      </c>
      <c r="G288" s="38">
        <v>0</v>
      </c>
      <c r="H288" s="39">
        <v>0</v>
      </c>
    </row>
    <row r="289" spans="1:8" ht="19.95" customHeight="1" x14ac:dyDescent="0.3">
      <c r="A289" s="36" t="s">
        <v>382</v>
      </c>
      <c r="B289" s="37" t="s">
        <v>44</v>
      </c>
      <c r="C289" s="37" t="s">
        <v>57</v>
      </c>
      <c r="D289" s="37" t="s">
        <v>78</v>
      </c>
      <c r="E289" s="38">
        <v>141840</v>
      </c>
      <c r="F289" s="38">
        <v>0</v>
      </c>
      <c r="G289" s="38">
        <v>0</v>
      </c>
      <c r="H289" s="39">
        <v>0</v>
      </c>
    </row>
    <row r="290" spans="1:8" ht="19.95" customHeight="1" x14ac:dyDescent="0.3">
      <c r="A290" s="36" t="s">
        <v>383</v>
      </c>
      <c r="B290" s="37" t="s">
        <v>67</v>
      </c>
      <c r="C290" s="37" t="s">
        <v>34</v>
      </c>
      <c r="D290" s="37" t="s">
        <v>140</v>
      </c>
      <c r="E290" s="38">
        <v>91302</v>
      </c>
      <c r="F290" s="38">
        <v>0</v>
      </c>
      <c r="G290" s="38">
        <v>0</v>
      </c>
      <c r="H290" s="39">
        <v>0</v>
      </c>
    </row>
    <row r="291" spans="1:8" ht="19.95" customHeight="1" x14ac:dyDescent="0.3">
      <c r="A291" s="36" t="s">
        <v>384</v>
      </c>
      <c r="B291" s="37" t="s">
        <v>56</v>
      </c>
      <c r="C291" s="37" t="s">
        <v>26</v>
      </c>
      <c r="D291" s="37" t="s">
        <v>63</v>
      </c>
      <c r="E291" s="38">
        <v>191623</v>
      </c>
      <c r="F291" s="38">
        <v>0</v>
      </c>
      <c r="G291" s="38">
        <v>0</v>
      </c>
      <c r="H291" s="39">
        <v>0</v>
      </c>
    </row>
    <row r="292" spans="1:8" ht="19.95" customHeight="1" x14ac:dyDescent="0.3">
      <c r="A292" s="36" t="s">
        <v>385</v>
      </c>
      <c r="B292" s="37" t="s">
        <v>25</v>
      </c>
      <c r="C292" s="37" t="s">
        <v>41</v>
      </c>
      <c r="D292" s="37" t="s">
        <v>116</v>
      </c>
      <c r="E292" s="38">
        <v>559254</v>
      </c>
      <c r="F292" s="38">
        <v>0</v>
      </c>
      <c r="G292" s="38">
        <v>0</v>
      </c>
      <c r="H292" s="39">
        <v>709</v>
      </c>
    </row>
    <row r="293" spans="1:8" ht="19.95" customHeight="1" x14ac:dyDescent="0.3">
      <c r="A293" s="36" t="s">
        <v>386</v>
      </c>
      <c r="B293" s="37" t="s">
        <v>31</v>
      </c>
      <c r="C293" s="37" t="s">
        <v>41</v>
      </c>
      <c r="D293" s="37" t="s">
        <v>73</v>
      </c>
      <c r="E293" s="38">
        <v>354534</v>
      </c>
      <c r="F293" s="38">
        <v>0</v>
      </c>
      <c r="G293" s="38">
        <v>0</v>
      </c>
      <c r="H293" s="39">
        <v>0</v>
      </c>
    </row>
    <row r="294" spans="1:8" ht="19.95" customHeight="1" x14ac:dyDescent="0.3">
      <c r="A294" s="36" t="s">
        <v>387</v>
      </c>
      <c r="B294" s="37" t="s">
        <v>60</v>
      </c>
      <c r="C294" s="37" t="s">
        <v>34</v>
      </c>
      <c r="D294" s="37" t="s">
        <v>280</v>
      </c>
      <c r="E294" s="38">
        <v>953052</v>
      </c>
      <c r="F294" s="38">
        <v>19087</v>
      </c>
      <c r="G294" s="38">
        <v>10634</v>
      </c>
      <c r="H294" s="39">
        <v>27020</v>
      </c>
    </row>
    <row r="295" spans="1:8" ht="19.95" customHeight="1" x14ac:dyDescent="0.3">
      <c r="A295" s="36" t="s">
        <v>388</v>
      </c>
      <c r="B295" s="37" t="s">
        <v>25</v>
      </c>
      <c r="C295" s="37" t="s">
        <v>86</v>
      </c>
      <c r="D295" s="37" t="s">
        <v>110</v>
      </c>
      <c r="E295" s="38">
        <v>354076</v>
      </c>
      <c r="F295" s="38">
        <v>0</v>
      </c>
      <c r="G295" s="38">
        <v>0</v>
      </c>
      <c r="H295" s="39">
        <v>0</v>
      </c>
    </row>
    <row r="296" spans="1:8" ht="19.95" customHeight="1" x14ac:dyDescent="0.3">
      <c r="A296" s="36" t="s">
        <v>389</v>
      </c>
      <c r="B296" s="37" t="s">
        <v>31</v>
      </c>
      <c r="C296" s="37" t="s">
        <v>41</v>
      </c>
      <c r="D296" s="37" t="s">
        <v>116</v>
      </c>
      <c r="E296" s="38">
        <v>24530</v>
      </c>
      <c r="F296" s="38">
        <v>0</v>
      </c>
      <c r="G296" s="38">
        <v>0</v>
      </c>
      <c r="H296" s="39">
        <v>0</v>
      </c>
    </row>
    <row r="297" spans="1:8" ht="19.95" customHeight="1" x14ac:dyDescent="0.3">
      <c r="A297" s="36" t="s">
        <v>390</v>
      </c>
      <c r="B297" s="37" t="s">
        <v>31</v>
      </c>
      <c r="C297" s="37" t="s">
        <v>34</v>
      </c>
      <c r="D297" s="37" t="s">
        <v>245</v>
      </c>
      <c r="E297" s="38">
        <v>83033</v>
      </c>
      <c r="F297" s="38">
        <v>0</v>
      </c>
      <c r="G297" s="38">
        <v>0</v>
      </c>
      <c r="H297" s="39">
        <v>0</v>
      </c>
    </row>
    <row r="298" spans="1:8" ht="19.95" customHeight="1" x14ac:dyDescent="0.3">
      <c r="A298" s="36" t="s">
        <v>391</v>
      </c>
      <c r="B298" s="37" t="s">
        <v>131</v>
      </c>
      <c r="C298" s="37" t="s">
        <v>57</v>
      </c>
      <c r="D298" s="37" t="s">
        <v>58</v>
      </c>
      <c r="E298" s="38">
        <v>334260</v>
      </c>
      <c r="F298" s="38">
        <v>0</v>
      </c>
      <c r="G298" s="38">
        <v>0</v>
      </c>
      <c r="H298" s="39">
        <v>0</v>
      </c>
    </row>
    <row r="299" spans="1:8" ht="19.95" customHeight="1" x14ac:dyDescent="0.3">
      <c r="A299" s="36" t="s">
        <v>392</v>
      </c>
      <c r="B299" s="37" t="s">
        <v>71</v>
      </c>
      <c r="C299" s="37" t="s">
        <v>86</v>
      </c>
      <c r="D299" s="37" t="s">
        <v>110</v>
      </c>
      <c r="E299" s="38">
        <v>2371800</v>
      </c>
      <c r="F299" s="38">
        <v>0</v>
      </c>
      <c r="G299" s="38">
        <v>0</v>
      </c>
      <c r="H299" s="39">
        <v>57235</v>
      </c>
    </row>
    <row r="300" spans="1:8" ht="19.95" customHeight="1" x14ac:dyDescent="0.3">
      <c r="A300" s="36" t="s">
        <v>393</v>
      </c>
      <c r="B300" s="37" t="s">
        <v>67</v>
      </c>
      <c r="C300" s="37" t="s">
        <v>86</v>
      </c>
      <c r="D300" s="37" t="s">
        <v>110</v>
      </c>
      <c r="E300" s="38">
        <v>930</v>
      </c>
      <c r="F300" s="38">
        <v>0</v>
      </c>
      <c r="G300" s="38">
        <v>0</v>
      </c>
      <c r="H300" s="39">
        <v>0</v>
      </c>
    </row>
    <row r="301" spans="1:8" ht="19.95" customHeight="1" x14ac:dyDescent="0.3">
      <c r="A301" s="36" t="s">
        <v>394</v>
      </c>
      <c r="B301" s="37" t="s">
        <v>44</v>
      </c>
      <c r="C301" s="37" t="s">
        <v>22</v>
      </c>
      <c r="D301" s="37" t="s">
        <v>68</v>
      </c>
      <c r="E301" s="38">
        <v>6215</v>
      </c>
      <c r="F301" s="38">
        <v>0</v>
      </c>
      <c r="G301" s="38">
        <v>0</v>
      </c>
      <c r="H301" s="39">
        <v>0</v>
      </c>
    </row>
    <row r="302" spans="1:8" ht="19.95" customHeight="1" x14ac:dyDescent="0.3">
      <c r="A302" s="36" t="s">
        <v>395</v>
      </c>
      <c r="B302" s="37" t="s">
        <v>131</v>
      </c>
      <c r="C302" s="37" t="s">
        <v>57</v>
      </c>
      <c r="D302" s="37" t="s">
        <v>78</v>
      </c>
      <c r="E302" s="38">
        <v>915636</v>
      </c>
      <c r="F302" s="38">
        <v>0</v>
      </c>
      <c r="G302" s="38">
        <v>0</v>
      </c>
      <c r="H302" s="39">
        <v>0</v>
      </c>
    </row>
    <row r="303" spans="1:8" ht="19.95" customHeight="1" x14ac:dyDescent="0.3">
      <c r="A303" s="36" t="s">
        <v>396</v>
      </c>
      <c r="B303" s="37" t="s">
        <v>131</v>
      </c>
      <c r="C303" s="37" t="s">
        <v>57</v>
      </c>
      <c r="D303" s="37" t="s">
        <v>63</v>
      </c>
      <c r="E303" s="38">
        <v>355196</v>
      </c>
      <c r="F303" s="38">
        <v>17135</v>
      </c>
      <c r="G303" s="38">
        <v>2063</v>
      </c>
      <c r="H303" s="39">
        <v>669</v>
      </c>
    </row>
    <row r="304" spans="1:8" ht="19.95" customHeight="1" x14ac:dyDescent="0.3">
      <c r="A304" s="36" t="s">
        <v>397</v>
      </c>
      <c r="B304" s="37" t="s">
        <v>21</v>
      </c>
      <c r="C304" s="37" t="s">
        <v>34</v>
      </c>
      <c r="D304" s="37" t="s">
        <v>317</v>
      </c>
      <c r="E304" s="38">
        <v>31961</v>
      </c>
      <c r="F304" s="38">
        <v>0</v>
      </c>
      <c r="G304" s="38">
        <v>0</v>
      </c>
      <c r="H304" s="39">
        <v>0</v>
      </c>
    </row>
    <row r="305" spans="1:8" ht="19.95" customHeight="1" x14ac:dyDescent="0.3">
      <c r="A305" s="36" t="s">
        <v>398</v>
      </c>
      <c r="B305" s="37" t="s">
        <v>21</v>
      </c>
      <c r="C305" s="37" t="s">
        <v>86</v>
      </c>
      <c r="D305" s="37" t="s">
        <v>258</v>
      </c>
      <c r="E305" s="38">
        <v>454268</v>
      </c>
      <c r="F305" s="38">
        <v>0</v>
      </c>
      <c r="G305" s="38">
        <v>0</v>
      </c>
      <c r="H305" s="39">
        <v>0</v>
      </c>
    </row>
    <row r="306" spans="1:8" ht="19.95" customHeight="1" x14ac:dyDescent="0.3">
      <c r="A306" s="36" t="s">
        <v>399</v>
      </c>
      <c r="B306" s="37" t="s">
        <v>44</v>
      </c>
      <c r="C306" s="37" t="s">
        <v>86</v>
      </c>
      <c r="D306" s="37" t="s">
        <v>258</v>
      </c>
      <c r="E306" s="38">
        <v>27507</v>
      </c>
      <c r="F306" s="38">
        <v>0</v>
      </c>
      <c r="G306" s="38">
        <v>0</v>
      </c>
      <c r="H306" s="39">
        <v>0</v>
      </c>
    </row>
    <row r="307" spans="1:8" ht="19.95" customHeight="1" x14ac:dyDescent="0.3">
      <c r="A307" s="36" t="s">
        <v>400</v>
      </c>
      <c r="B307" s="37" t="s">
        <v>31</v>
      </c>
      <c r="C307" s="37" t="s">
        <v>41</v>
      </c>
      <c r="D307" s="37" t="s">
        <v>65</v>
      </c>
      <c r="E307" s="38">
        <v>17488</v>
      </c>
      <c r="F307" s="38">
        <v>0</v>
      </c>
      <c r="G307" s="38">
        <v>0</v>
      </c>
      <c r="H307" s="39">
        <v>0</v>
      </c>
    </row>
    <row r="308" spans="1:8" ht="19.95" customHeight="1" x14ac:dyDescent="0.3">
      <c r="A308" s="36" t="s">
        <v>401</v>
      </c>
      <c r="B308" s="37" t="s">
        <v>21</v>
      </c>
      <c r="C308" s="37" t="s">
        <v>22</v>
      </c>
      <c r="D308" s="37" t="s">
        <v>138</v>
      </c>
      <c r="E308" s="38">
        <v>23378</v>
      </c>
      <c r="F308" s="38">
        <v>0</v>
      </c>
      <c r="G308" s="38">
        <v>0</v>
      </c>
      <c r="H308" s="39">
        <v>0</v>
      </c>
    </row>
    <row r="309" spans="1:8" ht="19.95" customHeight="1" x14ac:dyDescent="0.3">
      <c r="A309" s="36" t="s">
        <v>402</v>
      </c>
      <c r="B309" s="37" t="s">
        <v>25</v>
      </c>
      <c r="C309" s="37" t="s">
        <v>86</v>
      </c>
      <c r="D309" s="37" t="s">
        <v>110</v>
      </c>
      <c r="E309" s="38">
        <v>622883</v>
      </c>
      <c r="F309" s="38">
        <v>5964</v>
      </c>
      <c r="G309" s="38">
        <v>0</v>
      </c>
      <c r="H309" s="39">
        <v>12308</v>
      </c>
    </row>
    <row r="310" spans="1:8" ht="19.95" customHeight="1" x14ac:dyDescent="0.3">
      <c r="A310" s="36" t="s">
        <v>403</v>
      </c>
      <c r="B310" s="37" t="s">
        <v>297</v>
      </c>
      <c r="C310" s="37" t="s">
        <v>26</v>
      </c>
      <c r="D310" s="37" t="s">
        <v>63</v>
      </c>
      <c r="E310" s="38">
        <v>156538</v>
      </c>
      <c r="F310" s="38">
        <v>0</v>
      </c>
      <c r="G310" s="38">
        <v>0</v>
      </c>
      <c r="H310" s="39">
        <v>0</v>
      </c>
    </row>
    <row r="311" spans="1:8" ht="19.95" customHeight="1" x14ac:dyDescent="0.3">
      <c r="A311" s="36" t="s">
        <v>404</v>
      </c>
      <c r="B311" s="37" t="s">
        <v>37</v>
      </c>
      <c r="C311" s="37" t="s">
        <v>41</v>
      </c>
      <c r="D311" s="37" t="s">
        <v>42</v>
      </c>
      <c r="E311" s="38">
        <v>172</v>
      </c>
      <c r="F311" s="38">
        <v>0</v>
      </c>
      <c r="G311" s="38">
        <v>0</v>
      </c>
      <c r="H311" s="39">
        <v>1221</v>
      </c>
    </row>
    <row r="312" spans="1:8" ht="19.95" customHeight="1" x14ac:dyDescent="0.3">
      <c r="A312" s="36" t="s">
        <v>405</v>
      </c>
      <c r="B312" s="37" t="s">
        <v>297</v>
      </c>
      <c r="C312" s="37" t="s">
        <v>34</v>
      </c>
      <c r="D312" s="37" t="s">
        <v>280</v>
      </c>
      <c r="E312" s="38">
        <v>240556</v>
      </c>
      <c r="F312" s="38">
        <v>0</v>
      </c>
      <c r="G312" s="38">
        <v>0</v>
      </c>
      <c r="H312" s="39">
        <v>0</v>
      </c>
    </row>
    <row r="313" spans="1:8" ht="19.95" customHeight="1" x14ac:dyDescent="0.3">
      <c r="A313" s="36" t="s">
        <v>406</v>
      </c>
      <c r="B313" s="37" t="s">
        <v>131</v>
      </c>
      <c r="C313" s="37" t="s">
        <v>57</v>
      </c>
      <c r="D313" s="37" t="s">
        <v>78</v>
      </c>
      <c r="E313" s="38">
        <v>1917170</v>
      </c>
      <c r="F313" s="38">
        <v>0</v>
      </c>
      <c r="G313" s="38">
        <v>0</v>
      </c>
      <c r="H313" s="39">
        <v>0</v>
      </c>
    </row>
    <row r="314" spans="1:8" ht="19.95" customHeight="1" x14ac:dyDescent="0.3">
      <c r="A314" s="36" t="s">
        <v>407</v>
      </c>
      <c r="B314" s="37" t="s">
        <v>25</v>
      </c>
      <c r="C314" s="37" t="s">
        <v>41</v>
      </c>
      <c r="D314" s="37" t="s">
        <v>47</v>
      </c>
      <c r="E314" s="38">
        <v>4154349</v>
      </c>
      <c r="F314" s="38">
        <v>104513</v>
      </c>
      <c r="G314" s="38">
        <v>32753</v>
      </c>
      <c r="H314" s="39">
        <v>33454</v>
      </c>
    </row>
    <row r="315" spans="1:8" ht="19.95" customHeight="1" x14ac:dyDescent="0.3">
      <c r="A315" s="36" t="s">
        <v>408</v>
      </c>
      <c r="B315" s="37" t="s">
        <v>67</v>
      </c>
      <c r="C315" s="37" t="s">
        <v>26</v>
      </c>
      <c r="D315" s="37" t="s">
        <v>409</v>
      </c>
      <c r="E315" s="38">
        <v>43242</v>
      </c>
      <c r="F315" s="38">
        <v>0</v>
      </c>
      <c r="G315" s="38">
        <v>0</v>
      </c>
      <c r="H315" s="39">
        <v>0</v>
      </c>
    </row>
    <row r="316" spans="1:8" ht="19.95" customHeight="1" x14ac:dyDescent="0.3">
      <c r="A316" s="36" t="s">
        <v>410</v>
      </c>
      <c r="B316" s="37" t="s">
        <v>21</v>
      </c>
      <c r="C316" s="37" t="s">
        <v>86</v>
      </c>
      <c r="D316" s="37" t="s">
        <v>110</v>
      </c>
      <c r="E316" s="38">
        <v>34913</v>
      </c>
      <c r="F316" s="38">
        <v>0</v>
      </c>
      <c r="G316" s="38">
        <v>0</v>
      </c>
      <c r="H316" s="39">
        <v>0</v>
      </c>
    </row>
    <row r="317" spans="1:8" ht="19.95" customHeight="1" x14ac:dyDescent="0.3">
      <c r="A317" s="36" t="s">
        <v>411</v>
      </c>
      <c r="B317" s="37" t="s">
        <v>49</v>
      </c>
      <c r="C317" s="37" t="s">
        <v>86</v>
      </c>
      <c r="D317" s="37" t="s">
        <v>216</v>
      </c>
      <c r="E317" s="38">
        <v>971173</v>
      </c>
      <c r="F317" s="38">
        <v>50349</v>
      </c>
      <c r="G317" s="38">
        <v>21141</v>
      </c>
      <c r="H317" s="39">
        <v>18067</v>
      </c>
    </row>
    <row r="318" spans="1:8" ht="19.95" customHeight="1" x14ac:dyDescent="0.3">
      <c r="A318" s="36" t="s">
        <v>412</v>
      </c>
      <c r="B318" s="37" t="s">
        <v>31</v>
      </c>
      <c r="C318" s="37" t="s">
        <v>22</v>
      </c>
      <c r="D318" s="37" t="s">
        <v>271</v>
      </c>
      <c r="E318" s="38">
        <v>9261</v>
      </c>
      <c r="F318" s="38">
        <v>0</v>
      </c>
      <c r="G318" s="38">
        <v>0</v>
      </c>
      <c r="H318" s="39">
        <v>0</v>
      </c>
    </row>
    <row r="319" spans="1:8" ht="19.95" customHeight="1" x14ac:dyDescent="0.3">
      <c r="A319" s="36" t="s">
        <v>413</v>
      </c>
      <c r="B319" s="37" t="s">
        <v>44</v>
      </c>
      <c r="C319" s="37" t="s">
        <v>26</v>
      </c>
      <c r="D319" s="37" t="s">
        <v>32</v>
      </c>
      <c r="E319" s="38">
        <v>130259</v>
      </c>
      <c r="F319" s="38">
        <v>0</v>
      </c>
      <c r="G319" s="38">
        <v>0</v>
      </c>
      <c r="H319" s="39">
        <v>0</v>
      </c>
    </row>
    <row r="320" spans="1:8" ht="19.95" customHeight="1" x14ac:dyDescent="0.3">
      <c r="A320" s="36" t="s">
        <v>414</v>
      </c>
      <c r="B320" s="37" t="s">
        <v>25</v>
      </c>
      <c r="C320" s="37" t="s">
        <v>41</v>
      </c>
      <c r="D320" s="37" t="s">
        <v>116</v>
      </c>
      <c r="E320" s="38">
        <v>946369</v>
      </c>
      <c r="F320" s="38">
        <v>0</v>
      </c>
      <c r="G320" s="38">
        <v>0</v>
      </c>
      <c r="H320" s="39">
        <v>2795</v>
      </c>
    </row>
    <row r="321" spans="1:8" ht="19.95" customHeight="1" x14ac:dyDescent="0.3">
      <c r="A321" s="36" t="s">
        <v>415</v>
      </c>
      <c r="B321" s="37" t="s">
        <v>416</v>
      </c>
      <c r="C321" s="37" t="s">
        <v>26</v>
      </c>
      <c r="D321" s="37" t="s">
        <v>27</v>
      </c>
      <c r="E321" s="38">
        <v>13508</v>
      </c>
      <c r="F321" s="38">
        <v>0</v>
      </c>
      <c r="G321" s="38">
        <v>0</v>
      </c>
      <c r="H321" s="39">
        <v>0</v>
      </c>
    </row>
    <row r="322" spans="1:8" ht="19.95" customHeight="1" x14ac:dyDescent="0.3">
      <c r="A322" s="36" t="s">
        <v>417</v>
      </c>
      <c r="B322" s="37" t="s">
        <v>37</v>
      </c>
      <c r="C322" s="37" t="s">
        <v>34</v>
      </c>
      <c r="D322" s="37" t="s">
        <v>61</v>
      </c>
      <c r="E322" s="38">
        <v>900828</v>
      </c>
      <c r="F322" s="38">
        <v>0</v>
      </c>
      <c r="G322" s="38">
        <v>0</v>
      </c>
      <c r="H322" s="39">
        <v>96660</v>
      </c>
    </row>
    <row r="323" spans="1:8" ht="19.95" customHeight="1" x14ac:dyDescent="0.3">
      <c r="A323" s="36" t="s">
        <v>418</v>
      </c>
      <c r="B323" s="37" t="s">
        <v>44</v>
      </c>
      <c r="C323" s="37" t="s">
        <v>26</v>
      </c>
      <c r="D323" s="37" t="s">
        <v>32</v>
      </c>
      <c r="E323" s="38">
        <v>12135</v>
      </c>
      <c r="F323" s="38">
        <v>0</v>
      </c>
      <c r="G323" s="38">
        <v>0</v>
      </c>
      <c r="H323" s="39">
        <v>0</v>
      </c>
    </row>
    <row r="324" spans="1:8" ht="19.95" customHeight="1" x14ac:dyDescent="0.3">
      <c r="A324" s="36" t="s">
        <v>419</v>
      </c>
      <c r="B324" s="37" t="s">
        <v>21</v>
      </c>
      <c r="C324" s="37" t="s">
        <v>26</v>
      </c>
      <c r="D324" s="37" t="s">
        <v>420</v>
      </c>
      <c r="E324" s="38">
        <v>26685</v>
      </c>
      <c r="F324" s="38">
        <v>0</v>
      </c>
      <c r="G324" s="38">
        <v>0</v>
      </c>
      <c r="H324" s="39">
        <v>0</v>
      </c>
    </row>
    <row r="325" spans="1:8" ht="19.95" customHeight="1" x14ac:dyDescent="0.3">
      <c r="A325" s="36" t="s">
        <v>421</v>
      </c>
      <c r="B325" s="37" t="s">
        <v>44</v>
      </c>
      <c r="C325" s="37" t="s">
        <v>26</v>
      </c>
      <c r="D325" s="37" t="s">
        <v>29</v>
      </c>
      <c r="E325" s="38">
        <v>488831</v>
      </c>
      <c r="F325" s="38">
        <v>0</v>
      </c>
      <c r="G325" s="38">
        <v>0</v>
      </c>
      <c r="H325" s="39">
        <v>0</v>
      </c>
    </row>
    <row r="326" spans="1:8" ht="19.95" customHeight="1" x14ac:dyDescent="0.3">
      <c r="A326" s="36" t="s">
        <v>422</v>
      </c>
      <c r="B326" s="37" t="s">
        <v>31</v>
      </c>
      <c r="C326" s="37" t="s">
        <v>41</v>
      </c>
      <c r="D326" s="37" t="s">
        <v>73</v>
      </c>
      <c r="E326" s="38">
        <v>38106</v>
      </c>
      <c r="F326" s="38">
        <v>0</v>
      </c>
      <c r="G326" s="38">
        <v>0</v>
      </c>
      <c r="H326" s="39">
        <v>0</v>
      </c>
    </row>
    <row r="327" spans="1:8" ht="19.95" customHeight="1" x14ac:dyDescent="0.3">
      <c r="A327" s="36" t="s">
        <v>423</v>
      </c>
      <c r="B327" s="37" t="s">
        <v>21</v>
      </c>
      <c r="C327" s="37" t="s">
        <v>22</v>
      </c>
      <c r="D327" s="37" t="s">
        <v>107</v>
      </c>
      <c r="E327" s="38">
        <v>13185</v>
      </c>
      <c r="F327" s="38">
        <v>0</v>
      </c>
      <c r="G327" s="38">
        <v>0</v>
      </c>
      <c r="H327" s="39">
        <v>0</v>
      </c>
    </row>
    <row r="328" spans="1:8" ht="19.95" customHeight="1" x14ac:dyDescent="0.3">
      <c r="A328" s="36" t="s">
        <v>424</v>
      </c>
      <c r="B328" s="37" t="s">
        <v>21</v>
      </c>
      <c r="C328" s="37" t="s">
        <v>41</v>
      </c>
      <c r="D328" s="37" t="s">
        <v>42</v>
      </c>
      <c r="E328" s="38">
        <v>1278777</v>
      </c>
      <c r="F328" s="38">
        <v>0</v>
      </c>
      <c r="G328" s="38">
        <v>0</v>
      </c>
      <c r="H328" s="39">
        <v>0</v>
      </c>
    </row>
    <row r="329" spans="1:8" ht="19.95" customHeight="1" x14ac:dyDescent="0.3">
      <c r="A329" s="36" t="s">
        <v>425</v>
      </c>
      <c r="B329" s="37" t="s">
        <v>21</v>
      </c>
      <c r="C329" s="37" t="s">
        <v>86</v>
      </c>
      <c r="D329" s="37" t="s">
        <v>110</v>
      </c>
      <c r="E329" s="38">
        <v>2535134</v>
      </c>
      <c r="F329" s="38">
        <v>0</v>
      </c>
      <c r="G329" s="38">
        <v>0</v>
      </c>
      <c r="H329" s="39">
        <v>0</v>
      </c>
    </row>
    <row r="330" spans="1:8" ht="19.95" customHeight="1" x14ac:dyDescent="0.3">
      <c r="A330" s="36" t="s">
        <v>426</v>
      </c>
      <c r="B330" s="37" t="s">
        <v>21</v>
      </c>
      <c r="C330" s="37" t="s">
        <v>86</v>
      </c>
      <c r="D330" s="37" t="s">
        <v>216</v>
      </c>
      <c r="E330" s="38">
        <v>405925</v>
      </c>
      <c r="F330" s="38">
        <v>0</v>
      </c>
      <c r="G330" s="38">
        <v>0</v>
      </c>
      <c r="H330" s="39">
        <v>0</v>
      </c>
    </row>
    <row r="331" spans="1:8" ht="19.95" customHeight="1" x14ac:dyDescent="0.3">
      <c r="A331" s="36" t="s">
        <v>427</v>
      </c>
      <c r="B331" s="37" t="s">
        <v>44</v>
      </c>
      <c r="C331" s="37" t="s">
        <v>22</v>
      </c>
      <c r="D331" s="37" t="s">
        <v>428</v>
      </c>
      <c r="E331" s="38">
        <v>1329728</v>
      </c>
      <c r="F331" s="38">
        <v>0</v>
      </c>
      <c r="G331" s="38">
        <v>0</v>
      </c>
      <c r="H331" s="39">
        <v>0</v>
      </c>
    </row>
    <row r="332" spans="1:8" ht="19.95" customHeight="1" x14ac:dyDescent="0.3">
      <c r="A332" s="36" t="s">
        <v>429</v>
      </c>
      <c r="B332" s="37" t="s">
        <v>44</v>
      </c>
      <c r="C332" s="37" t="s">
        <v>41</v>
      </c>
      <c r="D332" s="37" t="s">
        <v>47</v>
      </c>
      <c r="E332" s="38">
        <v>6401</v>
      </c>
      <c r="F332" s="38">
        <v>0</v>
      </c>
      <c r="G332" s="38">
        <v>0</v>
      </c>
      <c r="H332" s="39">
        <v>0</v>
      </c>
    </row>
    <row r="333" spans="1:8" ht="19.95" customHeight="1" x14ac:dyDescent="0.3">
      <c r="A333" s="36" t="s">
        <v>430</v>
      </c>
      <c r="B333" s="37" t="s">
        <v>49</v>
      </c>
      <c r="C333" s="37" t="s">
        <v>86</v>
      </c>
      <c r="D333" s="37" t="s">
        <v>110</v>
      </c>
      <c r="E333" s="38">
        <v>639745</v>
      </c>
      <c r="F333" s="38">
        <v>0</v>
      </c>
      <c r="G333" s="38">
        <v>0</v>
      </c>
      <c r="H333" s="39">
        <v>0</v>
      </c>
    </row>
    <row r="334" spans="1:8" ht="19.95" customHeight="1" x14ac:dyDescent="0.3">
      <c r="A334" s="36" t="s">
        <v>431</v>
      </c>
      <c r="B334" s="37" t="s">
        <v>21</v>
      </c>
      <c r="C334" s="37" t="s">
        <v>26</v>
      </c>
      <c r="D334" s="37" t="s">
        <v>32</v>
      </c>
      <c r="E334" s="38">
        <v>116537</v>
      </c>
      <c r="F334" s="38">
        <v>0</v>
      </c>
      <c r="G334" s="38">
        <v>0</v>
      </c>
      <c r="H334" s="39">
        <v>0</v>
      </c>
    </row>
    <row r="335" spans="1:8" ht="19.95" customHeight="1" x14ac:dyDescent="0.3">
      <c r="A335" s="36" t="s">
        <v>432</v>
      </c>
      <c r="B335" s="37" t="s">
        <v>44</v>
      </c>
      <c r="C335" s="37" t="s">
        <v>26</v>
      </c>
      <c r="D335" s="37" t="s">
        <v>29</v>
      </c>
      <c r="E335" s="38">
        <v>51921</v>
      </c>
      <c r="F335" s="38">
        <v>0</v>
      </c>
      <c r="G335" s="38">
        <v>0</v>
      </c>
      <c r="H335" s="39">
        <v>0</v>
      </c>
    </row>
    <row r="336" spans="1:8" ht="19.95" customHeight="1" x14ac:dyDescent="0.3">
      <c r="A336" s="36" t="s">
        <v>433</v>
      </c>
      <c r="B336" s="37" t="s">
        <v>31</v>
      </c>
      <c r="C336" s="37" t="s">
        <v>34</v>
      </c>
      <c r="D336" s="37" t="s">
        <v>35</v>
      </c>
      <c r="E336" s="38">
        <v>183915</v>
      </c>
      <c r="F336" s="38">
        <v>0</v>
      </c>
      <c r="G336" s="38">
        <v>0</v>
      </c>
      <c r="H336" s="39">
        <v>0</v>
      </c>
    </row>
    <row r="337" spans="1:8" ht="19.95" customHeight="1" x14ac:dyDescent="0.3">
      <c r="A337" s="36" t="s">
        <v>434</v>
      </c>
      <c r="B337" s="37" t="s">
        <v>25</v>
      </c>
      <c r="C337" s="37" t="s">
        <v>86</v>
      </c>
      <c r="D337" s="37" t="s">
        <v>110</v>
      </c>
      <c r="E337" s="38">
        <v>1309573</v>
      </c>
      <c r="F337" s="38">
        <v>82036</v>
      </c>
      <c r="G337" s="38">
        <v>62752</v>
      </c>
      <c r="H337" s="39">
        <v>23439</v>
      </c>
    </row>
    <row r="338" spans="1:8" ht="19.95" customHeight="1" x14ac:dyDescent="0.3">
      <c r="A338" s="36" t="s">
        <v>435</v>
      </c>
      <c r="B338" s="37" t="s">
        <v>25</v>
      </c>
      <c r="C338" s="37" t="s">
        <v>26</v>
      </c>
      <c r="D338" s="37" t="s">
        <v>63</v>
      </c>
      <c r="E338" s="38">
        <v>1720211</v>
      </c>
      <c r="F338" s="38">
        <v>127314</v>
      </c>
      <c r="G338" s="38">
        <v>65937</v>
      </c>
      <c r="H338" s="39">
        <v>28544</v>
      </c>
    </row>
    <row r="339" spans="1:8" ht="19.95" customHeight="1" x14ac:dyDescent="0.3">
      <c r="A339" s="36" t="s">
        <v>436</v>
      </c>
      <c r="B339" s="37" t="s">
        <v>144</v>
      </c>
      <c r="C339" s="37" t="s">
        <v>22</v>
      </c>
      <c r="D339" s="37" t="s">
        <v>53</v>
      </c>
      <c r="E339" s="38">
        <v>386152</v>
      </c>
      <c r="F339" s="38">
        <v>0</v>
      </c>
      <c r="G339" s="38">
        <v>0</v>
      </c>
      <c r="H339" s="39">
        <v>0</v>
      </c>
    </row>
    <row r="340" spans="1:8" ht="19.95" customHeight="1" x14ac:dyDescent="0.3">
      <c r="A340" s="36" t="s">
        <v>437</v>
      </c>
      <c r="B340" s="37" t="s">
        <v>21</v>
      </c>
      <c r="C340" s="37" t="s">
        <v>38</v>
      </c>
      <c r="D340" s="37" t="s">
        <v>39</v>
      </c>
      <c r="E340" s="38">
        <v>309327</v>
      </c>
      <c r="F340" s="38">
        <v>0</v>
      </c>
      <c r="G340" s="38">
        <v>0</v>
      </c>
      <c r="H340" s="39">
        <v>0</v>
      </c>
    </row>
    <row r="341" spans="1:8" ht="19.95" customHeight="1" x14ac:dyDescent="0.3">
      <c r="A341" s="36" t="s">
        <v>438</v>
      </c>
      <c r="B341" s="37" t="s">
        <v>60</v>
      </c>
      <c r="C341" s="37" t="s">
        <v>34</v>
      </c>
      <c r="D341" s="37" t="s">
        <v>280</v>
      </c>
      <c r="E341" s="38">
        <v>1670025</v>
      </c>
      <c r="F341" s="38">
        <v>57456</v>
      </c>
      <c r="G341" s="38">
        <v>68065</v>
      </c>
      <c r="H341" s="39">
        <v>15685</v>
      </c>
    </row>
    <row r="342" spans="1:8" ht="19.95" customHeight="1" x14ac:dyDescent="0.3">
      <c r="A342" s="36" t="s">
        <v>439</v>
      </c>
      <c r="B342" s="37" t="s">
        <v>44</v>
      </c>
      <c r="C342" s="37" t="s">
        <v>26</v>
      </c>
      <c r="D342" s="37" t="s">
        <v>29</v>
      </c>
      <c r="E342" s="38">
        <v>15925</v>
      </c>
      <c r="F342" s="38">
        <v>0</v>
      </c>
      <c r="G342" s="38">
        <v>0</v>
      </c>
      <c r="H342" s="39">
        <v>0</v>
      </c>
    </row>
    <row r="343" spans="1:8" ht="19.95" customHeight="1" x14ac:dyDescent="0.3">
      <c r="A343" s="36" t="s">
        <v>440</v>
      </c>
      <c r="B343" s="37" t="s">
        <v>31</v>
      </c>
      <c r="C343" s="37" t="s">
        <v>26</v>
      </c>
      <c r="D343" s="37" t="s">
        <v>32</v>
      </c>
      <c r="E343" s="38">
        <v>3722029</v>
      </c>
      <c r="F343" s="38">
        <v>0</v>
      </c>
      <c r="G343" s="38">
        <v>0</v>
      </c>
      <c r="H343" s="39">
        <v>0</v>
      </c>
    </row>
    <row r="344" spans="1:8" ht="19.95" customHeight="1" x14ac:dyDescent="0.3">
      <c r="A344" s="36" t="s">
        <v>441</v>
      </c>
      <c r="B344" s="37" t="s">
        <v>21</v>
      </c>
      <c r="C344" s="37" t="s">
        <v>34</v>
      </c>
      <c r="D344" s="37" t="s">
        <v>226</v>
      </c>
      <c r="E344" s="38">
        <v>23893</v>
      </c>
      <c r="F344" s="38">
        <v>0</v>
      </c>
      <c r="G344" s="38">
        <v>0</v>
      </c>
      <c r="H344" s="39">
        <v>0</v>
      </c>
    </row>
    <row r="345" spans="1:8" ht="19.95" customHeight="1" x14ac:dyDescent="0.3">
      <c r="A345" s="36" t="s">
        <v>442</v>
      </c>
      <c r="B345" s="37" t="s">
        <v>44</v>
      </c>
      <c r="C345" s="37" t="s">
        <v>26</v>
      </c>
      <c r="D345" s="37" t="s">
        <v>45</v>
      </c>
      <c r="E345" s="38">
        <v>60243</v>
      </c>
      <c r="F345" s="38">
        <v>0</v>
      </c>
      <c r="G345" s="38">
        <v>0</v>
      </c>
      <c r="H345" s="39">
        <v>0</v>
      </c>
    </row>
    <row r="346" spans="1:8" ht="19.95" customHeight="1" x14ac:dyDescent="0.3">
      <c r="A346" s="36" t="s">
        <v>443</v>
      </c>
      <c r="B346" s="37" t="s">
        <v>56</v>
      </c>
      <c r="C346" s="37" t="s">
        <v>22</v>
      </c>
      <c r="D346" s="37" t="s">
        <v>53</v>
      </c>
      <c r="E346" s="38">
        <v>446160</v>
      </c>
      <c r="F346" s="38">
        <v>0</v>
      </c>
      <c r="G346" s="38">
        <v>0</v>
      </c>
      <c r="H346" s="39">
        <v>0</v>
      </c>
    </row>
    <row r="347" spans="1:8" ht="19.95" customHeight="1" x14ac:dyDescent="0.3">
      <c r="A347" s="36" t="s">
        <v>444</v>
      </c>
      <c r="B347" s="37" t="s">
        <v>31</v>
      </c>
      <c r="C347" s="37" t="s">
        <v>26</v>
      </c>
      <c r="D347" s="37" t="s">
        <v>32</v>
      </c>
      <c r="E347" s="38">
        <v>2302641</v>
      </c>
      <c r="F347" s="38">
        <v>0</v>
      </c>
      <c r="G347" s="38">
        <v>0</v>
      </c>
      <c r="H347" s="39">
        <v>0</v>
      </c>
    </row>
    <row r="348" spans="1:8" ht="19.95" customHeight="1" x14ac:dyDescent="0.3">
      <c r="A348" s="36" t="s">
        <v>445</v>
      </c>
      <c r="B348" s="37" t="s">
        <v>31</v>
      </c>
      <c r="C348" s="37" t="s">
        <v>41</v>
      </c>
      <c r="D348" s="37" t="s">
        <v>116</v>
      </c>
      <c r="E348" s="38">
        <v>73260</v>
      </c>
      <c r="F348" s="38">
        <v>0</v>
      </c>
      <c r="G348" s="38">
        <v>0</v>
      </c>
      <c r="H348" s="39">
        <v>0</v>
      </c>
    </row>
    <row r="349" spans="1:8" ht="19.95" customHeight="1" x14ac:dyDescent="0.3">
      <c r="A349" s="36" t="s">
        <v>446</v>
      </c>
      <c r="B349" s="37" t="s">
        <v>81</v>
      </c>
      <c r="C349" s="37" t="s">
        <v>34</v>
      </c>
      <c r="D349" s="37" t="s">
        <v>104</v>
      </c>
      <c r="E349" s="38">
        <v>29955</v>
      </c>
      <c r="F349" s="38">
        <v>0</v>
      </c>
      <c r="G349" s="38">
        <v>0</v>
      </c>
      <c r="H349" s="39">
        <v>0</v>
      </c>
    </row>
    <row r="350" spans="1:8" ht="19.95" customHeight="1" x14ac:dyDescent="0.3">
      <c r="A350" s="36" t="s">
        <v>447</v>
      </c>
      <c r="B350" s="37" t="s">
        <v>67</v>
      </c>
      <c r="C350" s="37" t="s">
        <v>26</v>
      </c>
      <c r="D350" s="37" t="s">
        <v>45</v>
      </c>
      <c r="E350" s="38">
        <v>2336</v>
      </c>
      <c r="F350" s="38">
        <v>0</v>
      </c>
      <c r="G350" s="38">
        <v>0</v>
      </c>
      <c r="H350" s="39">
        <v>0</v>
      </c>
    </row>
    <row r="351" spans="1:8" ht="19.95" customHeight="1" x14ac:dyDescent="0.3">
      <c r="A351" s="36" t="s">
        <v>448</v>
      </c>
      <c r="B351" s="37" t="s">
        <v>44</v>
      </c>
      <c r="C351" s="37" t="s">
        <v>26</v>
      </c>
      <c r="D351" s="37" t="s">
        <v>32</v>
      </c>
      <c r="E351" s="38">
        <v>25086</v>
      </c>
      <c r="F351" s="38">
        <v>0</v>
      </c>
      <c r="G351" s="38">
        <v>0</v>
      </c>
      <c r="H351" s="39">
        <v>0</v>
      </c>
    </row>
    <row r="352" spans="1:8" ht="19.95" customHeight="1" x14ac:dyDescent="0.3">
      <c r="A352" s="36" t="s">
        <v>449</v>
      </c>
      <c r="B352" s="37" t="s">
        <v>44</v>
      </c>
      <c r="C352" s="37" t="s">
        <v>26</v>
      </c>
      <c r="D352" s="37" t="s">
        <v>32</v>
      </c>
      <c r="E352" s="38">
        <v>30141</v>
      </c>
      <c r="F352" s="38">
        <v>0</v>
      </c>
      <c r="G352" s="38">
        <v>0</v>
      </c>
      <c r="H352" s="39">
        <v>0</v>
      </c>
    </row>
    <row r="353" spans="1:8" ht="19.95" customHeight="1" x14ac:dyDescent="0.3">
      <c r="A353" s="36" t="s">
        <v>450</v>
      </c>
      <c r="B353" s="37" t="s">
        <v>67</v>
      </c>
      <c r="C353" s="37" t="s">
        <v>57</v>
      </c>
      <c r="D353" s="37" t="s">
        <v>63</v>
      </c>
      <c r="E353" s="38">
        <v>174954</v>
      </c>
      <c r="F353" s="38">
        <v>0</v>
      </c>
      <c r="G353" s="38">
        <v>0</v>
      </c>
      <c r="H353" s="39">
        <v>0</v>
      </c>
    </row>
    <row r="354" spans="1:8" ht="19.95" customHeight="1" x14ac:dyDescent="0.3">
      <c r="A354" s="36" t="s">
        <v>451</v>
      </c>
      <c r="B354" s="37" t="s">
        <v>25</v>
      </c>
      <c r="C354" s="37" t="s">
        <v>34</v>
      </c>
      <c r="D354" s="37" t="s">
        <v>214</v>
      </c>
      <c r="E354" s="38">
        <v>732951</v>
      </c>
      <c r="F354" s="38">
        <v>14211</v>
      </c>
      <c r="G354" s="38">
        <v>22108</v>
      </c>
      <c r="H354" s="39">
        <v>653</v>
      </c>
    </row>
    <row r="355" spans="1:8" ht="19.95" customHeight="1" x14ac:dyDescent="0.3">
      <c r="A355" s="36" t="s">
        <v>452</v>
      </c>
      <c r="B355" s="37" t="s">
        <v>21</v>
      </c>
      <c r="C355" s="37" t="s">
        <v>26</v>
      </c>
      <c r="D355" s="37" t="s">
        <v>349</v>
      </c>
      <c r="E355" s="38">
        <v>34031</v>
      </c>
      <c r="F355" s="38">
        <v>0</v>
      </c>
      <c r="G355" s="38">
        <v>0</v>
      </c>
      <c r="H355" s="39">
        <v>0</v>
      </c>
    </row>
    <row r="356" spans="1:8" ht="19.95" customHeight="1" x14ac:dyDescent="0.3">
      <c r="A356" s="36" t="s">
        <v>453</v>
      </c>
      <c r="B356" s="37" t="s">
        <v>67</v>
      </c>
      <c r="C356" s="37" t="s">
        <v>57</v>
      </c>
      <c r="D356" s="37" t="s">
        <v>78</v>
      </c>
      <c r="E356" s="38">
        <v>2915319</v>
      </c>
      <c r="F356" s="38">
        <v>0</v>
      </c>
      <c r="G356" s="38">
        <v>0</v>
      </c>
      <c r="H356" s="39">
        <v>0</v>
      </c>
    </row>
    <row r="357" spans="1:8" ht="19.95" customHeight="1" x14ac:dyDescent="0.3">
      <c r="A357" s="36" t="s">
        <v>454</v>
      </c>
      <c r="B357" s="37" t="s">
        <v>44</v>
      </c>
      <c r="C357" s="37" t="s">
        <v>26</v>
      </c>
      <c r="D357" s="37" t="s">
        <v>58</v>
      </c>
      <c r="E357" s="38">
        <v>4538</v>
      </c>
      <c r="F357" s="38">
        <v>0</v>
      </c>
      <c r="G357" s="38">
        <v>0</v>
      </c>
      <c r="H357" s="39">
        <v>0</v>
      </c>
    </row>
    <row r="358" spans="1:8" ht="19.95" customHeight="1" x14ac:dyDescent="0.3">
      <c r="A358" s="36" t="s">
        <v>455</v>
      </c>
      <c r="B358" s="37" t="s">
        <v>31</v>
      </c>
      <c r="C358" s="37" t="s">
        <v>41</v>
      </c>
      <c r="D358" s="37" t="s">
        <v>65</v>
      </c>
      <c r="E358" s="38">
        <v>114034</v>
      </c>
      <c r="F358" s="38">
        <v>0</v>
      </c>
      <c r="G358" s="38">
        <v>0</v>
      </c>
      <c r="H358" s="39">
        <v>0</v>
      </c>
    </row>
    <row r="359" spans="1:8" ht="19.95" customHeight="1" x14ac:dyDescent="0.3">
      <c r="A359" s="36" t="s">
        <v>456</v>
      </c>
      <c r="B359" s="37" t="s">
        <v>81</v>
      </c>
      <c r="C359" s="37" t="s">
        <v>22</v>
      </c>
      <c r="D359" s="37" t="s">
        <v>84</v>
      </c>
      <c r="E359" s="38">
        <v>997136</v>
      </c>
      <c r="F359" s="38">
        <v>0</v>
      </c>
      <c r="G359" s="38">
        <v>0</v>
      </c>
      <c r="H359" s="39">
        <v>0</v>
      </c>
    </row>
    <row r="360" spans="1:8" ht="19.95" customHeight="1" x14ac:dyDescent="0.3">
      <c r="A360" s="36" t="s">
        <v>457</v>
      </c>
      <c r="B360" s="37" t="s">
        <v>31</v>
      </c>
      <c r="C360" s="37" t="s">
        <v>41</v>
      </c>
      <c r="D360" s="37" t="s">
        <v>116</v>
      </c>
      <c r="E360" s="38">
        <v>30840</v>
      </c>
      <c r="F360" s="38">
        <v>0</v>
      </c>
      <c r="G360" s="38">
        <v>0</v>
      </c>
      <c r="H360" s="39">
        <v>0</v>
      </c>
    </row>
    <row r="361" spans="1:8" ht="19.95" customHeight="1" x14ac:dyDescent="0.3">
      <c r="A361" s="36" t="s">
        <v>458</v>
      </c>
      <c r="B361" s="37" t="s">
        <v>31</v>
      </c>
      <c r="C361" s="37" t="s">
        <v>86</v>
      </c>
      <c r="D361" s="37" t="s">
        <v>110</v>
      </c>
      <c r="E361" s="38">
        <v>3810</v>
      </c>
      <c r="F361" s="38">
        <v>0</v>
      </c>
      <c r="G361" s="38">
        <v>0</v>
      </c>
      <c r="H361" s="39">
        <v>0</v>
      </c>
    </row>
    <row r="362" spans="1:8" ht="19.95" customHeight="1" x14ac:dyDescent="0.3">
      <c r="A362" s="36" t="s">
        <v>459</v>
      </c>
      <c r="B362" s="37" t="s">
        <v>31</v>
      </c>
      <c r="C362" s="37" t="s">
        <v>86</v>
      </c>
      <c r="D362" s="37" t="s">
        <v>249</v>
      </c>
      <c r="E362" s="38">
        <v>60431</v>
      </c>
      <c r="F362" s="38">
        <v>0</v>
      </c>
      <c r="G362" s="38">
        <v>0</v>
      </c>
      <c r="H362" s="39">
        <v>0</v>
      </c>
    </row>
    <row r="363" spans="1:8" ht="19.95" customHeight="1" x14ac:dyDescent="0.3">
      <c r="A363" s="36" t="s">
        <v>460</v>
      </c>
      <c r="B363" s="37" t="s">
        <v>21</v>
      </c>
      <c r="C363" s="37" t="s">
        <v>41</v>
      </c>
      <c r="D363" s="37" t="s">
        <v>116</v>
      </c>
      <c r="E363" s="38">
        <v>35256</v>
      </c>
      <c r="F363" s="38">
        <v>0</v>
      </c>
      <c r="G363" s="38">
        <v>0</v>
      </c>
      <c r="H363" s="39">
        <v>0</v>
      </c>
    </row>
    <row r="364" spans="1:8" ht="19.95" customHeight="1" x14ac:dyDescent="0.3">
      <c r="A364" s="36" t="s">
        <v>461</v>
      </c>
      <c r="B364" s="37" t="s">
        <v>44</v>
      </c>
      <c r="C364" s="37" t="s">
        <v>22</v>
      </c>
      <c r="D364" s="37" t="s">
        <v>271</v>
      </c>
      <c r="E364" s="38">
        <v>28474</v>
      </c>
      <c r="F364" s="38">
        <v>0</v>
      </c>
      <c r="G364" s="38">
        <v>0</v>
      </c>
      <c r="H364" s="39">
        <v>0</v>
      </c>
    </row>
    <row r="365" spans="1:8" ht="19.95" customHeight="1" x14ac:dyDescent="0.3">
      <c r="A365" s="36" t="s">
        <v>462</v>
      </c>
      <c r="B365" s="37" t="s">
        <v>44</v>
      </c>
      <c r="C365" s="37" t="s">
        <v>22</v>
      </c>
      <c r="D365" s="37" t="s">
        <v>271</v>
      </c>
      <c r="E365" s="38">
        <v>10037</v>
      </c>
      <c r="F365" s="38">
        <v>0</v>
      </c>
      <c r="G365" s="38">
        <v>0</v>
      </c>
      <c r="H365" s="39">
        <v>0</v>
      </c>
    </row>
    <row r="366" spans="1:8" ht="19.95" customHeight="1" x14ac:dyDescent="0.3">
      <c r="A366" s="36" t="s">
        <v>463</v>
      </c>
      <c r="B366" s="37" t="s">
        <v>31</v>
      </c>
      <c r="C366" s="37" t="s">
        <v>41</v>
      </c>
      <c r="D366" s="37" t="s">
        <v>116</v>
      </c>
      <c r="E366" s="38">
        <v>108283</v>
      </c>
      <c r="F366" s="38">
        <v>0</v>
      </c>
      <c r="G366" s="38">
        <v>0</v>
      </c>
      <c r="H366" s="39">
        <v>0</v>
      </c>
    </row>
    <row r="367" spans="1:8" ht="19.95" customHeight="1" x14ac:dyDescent="0.3">
      <c r="A367" s="36" t="s">
        <v>464</v>
      </c>
      <c r="B367" s="37" t="s">
        <v>44</v>
      </c>
      <c r="C367" s="37" t="s">
        <v>34</v>
      </c>
      <c r="D367" s="37" t="s">
        <v>226</v>
      </c>
      <c r="E367" s="38">
        <v>44732</v>
      </c>
      <c r="F367" s="38">
        <v>0</v>
      </c>
      <c r="G367" s="38">
        <v>0</v>
      </c>
      <c r="H367" s="39">
        <v>0</v>
      </c>
    </row>
    <row r="368" spans="1:8" ht="19.95" customHeight="1" x14ac:dyDescent="0.3">
      <c r="A368" s="36" t="s">
        <v>465</v>
      </c>
      <c r="B368" s="37" t="s">
        <v>37</v>
      </c>
      <c r="C368" s="37" t="s">
        <v>26</v>
      </c>
      <c r="D368" s="37" t="s">
        <v>45</v>
      </c>
      <c r="E368" s="38">
        <v>377061</v>
      </c>
      <c r="F368" s="38">
        <v>0</v>
      </c>
      <c r="G368" s="38">
        <v>0</v>
      </c>
      <c r="H368" s="39">
        <v>0</v>
      </c>
    </row>
    <row r="369" spans="1:8" ht="19.95" customHeight="1" x14ac:dyDescent="0.3">
      <c r="A369" s="36" t="s">
        <v>466</v>
      </c>
      <c r="B369" s="37" t="s">
        <v>81</v>
      </c>
      <c r="C369" s="37" t="s">
        <v>41</v>
      </c>
      <c r="D369" s="37" t="s">
        <v>73</v>
      </c>
      <c r="E369" s="38">
        <v>82111</v>
      </c>
      <c r="F369" s="38">
        <v>0</v>
      </c>
      <c r="G369" s="38">
        <v>0</v>
      </c>
      <c r="H369" s="39">
        <v>176</v>
      </c>
    </row>
    <row r="370" spans="1:8" ht="19.95" customHeight="1" x14ac:dyDescent="0.3">
      <c r="A370" s="36" t="s">
        <v>467</v>
      </c>
      <c r="B370" s="37" t="s">
        <v>21</v>
      </c>
      <c r="C370" s="37" t="s">
        <v>26</v>
      </c>
      <c r="D370" s="37" t="s">
        <v>45</v>
      </c>
      <c r="E370" s="38">
        <v>1866480</v>
      </c>
      <c r="F370" s="38">
        <v>0</v>
      </c>
      <c r="G370" s="38">
        <v>0</v>
      </c>
      <c r="H370" s="39">
        <v>0</v>
      </c>
    </row>
    <row r="371" spans="1:8" ht="19.95" customHeight="1" x14ac:dyDescent="0.3">
      <c r="A371" s="36" t="s">
        <v>468</v>
      </c>
      <c r="B371" s="37" t="s">
        <v>44</v>
      </c>
      <c r="C371" s="37" t="s">
        <v>26</v>
      </c>
      <c r="D371" s="37" t="s">
        <v>32</v>
      </c>
      <c r="E371" s="38">
        <v>406077</v>
      </c>
      <c r="F371" s="38">
        <v>0</v>
      </c>
      <c r="G371" s="38">
        <v>0</v>
      </c>
      <c r="H371" s="39">
        <v>0</v>
      </c>
    </row>
    <row r="372" spans="1:8" ht="19.95" customHeight="1" x14ac:dyDescent="0.3">
      <c r="A372" s="36" t="s">
        <v>469</v>
      </c>
      <c r="B372" s="37" t="s">
        <v>144</v>
      </c>
      <c r="C372" s="37" t="s">
        <v>22</v>
      </c>
      <c r="D372" s="37" t="s">
        <v>184</v>
      </c>
      <c r="E372" s="38">
        <v>403332</v>
      </c>
      <c r="F372" s="38">
        <v>0</v>
      </c>
      <c r="G372" s="38">
        <v>0</v>
      </c>
      <c r="H372" s="39">
        <v>0</v>
      </c>
    </row>
    <row r="373" spans="1:8" ht="19.95" customHeight="1" x14ac:dyDescent="0.3">
      <c r="A373" s="36" t="s">
        <v>470</v>
      </c>
      <c r="B373" s="37" t="s">
        <v>67</v>
      </c>
      <c r="C373" s="37" t="s">
        <v>57</v>
      </c>
      <c r="D373" s="37" t="s">
        <v>78</v>
      </c>
      <c r="E373" s="38">
        <v>5295711</v>
      </c>
      <c r="F373" s="38">
        <v>0</v>
      </c>
      <c r="G373" s="38">
        <v>0</v>
      </c>
      <c r="H373" s="39">
        <v>0</v>
      </c>
    </row>
    <row r="374" spans="1:8" ht="19.95" customHeight="1" x14ac:dyDescent="0.3">
      <c r="A374" s="36" t="s">
        <v>471</v>
      </c>
      <c r="B374" s="37" t="s">
        <v>25</v>
      </c>
      <c r="C374" s="37" t="s">
        <v>22</v>
      </c>
      <c r="D374" s="37" t="s">
        <v>107</v>
      </c>
      <c r="E374" s="38">
        <v>423029</v>
      </c>
      <c r="F374" s="38">
        <v>0</v>
      </c>
      <c r="G374" s="38">
        <v>0</v>
      </c>
      <c r="H374" s="39">
        <v>0</v>
      </c>
    </row>
    <row r="375" spans="1:8" ht="19.95" customHeight="1" x14ac:dyDescent="0.3">
      <c r="A375" s="36" t="s">
        <v>472</v>
      </c>
      <c r="B375" s="37" t="s">
        <v>25</v>
      </c>
      <c r="C375" s="37" t="s">
        <v>34</v>
      </c>
      <c r="D375" s="37" t="s">
        <v>245</v>
      </c>
      <c r="E375" s="38">
        <v>199030</v>
      </c>
      <c r="F375" s="38">
        <v>0</v>
      </c>
      <c r="G375" s="38">
        <v>0</v>
      </c>
      <c r="H375" s="39">
        <v>58389</v>
      </c>
    </row>
    <row r="376" spans="1:8" ht="19.95" customHeight="1" x14ac:dyDescent="0.3">
      <c r="A376" s="36" t="s">
        <v>473</v>
      </c>
      <c r="B376" s="37" t="s">
        <v>31</v>
      </c>
      <c r="C376" s="37" t="s">
        <v>41</v>
      </c>
      <c r="D376" s="37" t="s">
        <v>42</v>
      </c>
      <c r="E376" s="38">
        <v>111961</v>
      </c>
      <c r="F376" s="38">
        <v>0</v>
      </c>
      <c r="G376" s="38">
        <v>0</v>
      </c>
      <c r="H376" s="39">
        <v>0</v>
      </c>
    </row>
    <row r="377" spans="1:8" ht="19.95" customHeight="1" x14ac:dyDescent="0.3">
      <c r="A377" s="36" t="s">
        <v>474</v>
      </c>
      <c r="B377" s="37" t="s">
        <v>31</v>
      </c>
      <c r="C377" s="37" t="s">
        <v>41</v>
      </c>
      <c r="D377" s="37" t="s">
        <v>116</v>
      </c>
      <c r="E377" s="38">
        <v>187205</v>
      </c>
      <c r="F377" s="38">
        <v>0</v>
      </c>
      <c r="G377" s="38">
        <v>0</v>
      </c>
      <c r="H377" s="39">
        <v>0</v>
      </c>
    </row>
    <row r="378" spans="1:8" ht="19.95" customHeight="1" x14ac:dyDescent="0.3">
      <c r="A378" s="36" t="s">
        <v>475</v>
      </c>
      <c r="B378" s="37" t="s">
        <v>21</v>
      </c>
      <c r="C378" s="37" t="s">
        <v>86</v>
      </c>
      <c r="D378" s="37" t="s">
        <v>476</v>
      </c>
      <c r="E378" s="38">
        <v>373974</v>
      </c>
      <c r="F378" s="38">
        <v>0</v>
      </c>
      <c r="G378" s="38">
        <v>0</v>
      </c>
      <c r="H378" s="39">
        <v>0</v>
      </c>
    </row>
    <row r="379" spans="1:8" ht="19.95" customHeight="1" x14ac:dyDescent="0.3">
      <c r="A379" s="36" t="s">
        <v>477</v>
      </c>
      <c r="B379" s="37" t="s">
        <v>67</v>
      </c>
      <c r="C379" s="37" t="s">
        <v>57</v>
      </c>
      <c r="D379" s="37" t="s">
        <v>78</v>
      </c>
      <c r="E379" s="38">
        <v>247208</v>
      </c>
      <c r="F379" s="38">
        <v>0</v>
      </c>
      <c r="G379" s="38">
        <v>0</v>
      </c>
      <c r="H379" s="39">
        <v>0</v>
      </c>
    </row>
    <row r="380" spans="1:8" ht="19.95" customHeight="1" x14ac:dyDescent="0.3">
      <c r="A380" s="36" t="s">
        <v>478</v>
      </c>
      <c r="B380" s="37" t="s">
        <v>44</v>
      </c>
      <c r="C380" s="37" t="s">
        <v>41</v>
      </c>
      <c r="D380" s="37" t="s">
        <v>146</v>
      </c>
      <c r="E380" s="38">
        <v>12369</v>
      </c>
      <c r="F380" s="38">
        <v>0</v>
      </c>
      <c r="G380" s="38">
        <v>0</v>
      </c>
      <c r="H380" s="39">
        <v>0</v>
      </c>
    </row>
    <row r="381" spans="1:8" ht="19.95" customHeight="1" x14ac:dyDescent="0.3">
      <c r="A381" s="36" t="s">
        <v>479</v>
      </c>
      <c r="B381" s="37" t="s">
        <v>21</v>
      </c>
      <c r="C381" s="37" t="s">
        <v>26</v>
      </c>
      <c r="D381" s="37" t="s">
        <v>480</v>
      </c>
      <c r="E381" s="38">
        <v>34246</v>
      </c>
      <c r="F381" s="38">
        <v>0</v>
      </c>
      <c r="G381" s="38">
        <v>0</v>
      </c>
      <c r="H381" s="39">
        <v>0</v>
      </c>
    </row>
    <row r="382" spans="1:8" ht="19.95" customHeight="1" x14ac:dyDescent="0.3">
      <c r="A382" s="36" t="s">
        <v>481</v>
      </c>
      <c r="B382" s="37" t="s">
        <v>49</v>
      </c>
      <c r="C382" s="37" t="s">
        <v>86</v>
      </c>
      <c r="D382" s="37" t="s">
        <v>110</v>
      </c>
      <c r="E382" s="38">
        <v>812244</v>
      </c>
      <c r="F382" s="38">
        <v>7634</v>
      </c>
      <c r="G382" s="38">
        <v>2342</v>
      </c>
      <c r="H382" s="39">
        <v>12</v>
      </c>
    </row>
    <row r="383" spans="1:8" ht="19.95" customHeight="1" x14ac:dyDescent="0.3">
      <c r="A383" s="36" t="s">
        <v>482</v>
      </c>
      <c r="B383" s="37" t="s">
        <v>131</v>
      </c>
      <c r="C383" s="37" t="s">
        <v>57</v>
      </c>
      <c r="D383" s="37" t="s">
        <v>78</v>
      </c>
      <c r="E383" s="38">
        <v>517030</v>
      </c>
      <c r="F383" s="38">
        <v>0</v>
      </c>
      <c r="G383" s="38">
        <v>0</v>
      </c>
      <c r="H383" s="39">
        <v>0</v>
      </c>
    </row>
    <row r="384" spans="1:8" ht="19.95" customHeight="1" x14ac:dyDescent="0.3">
      <c r="A384" s="36" t="s">
        <v>483</v>
      </c>
      <c r="B384" s="37" t="s">
        <v>25</v>
      </c>
      <c r="C384" s="37" t="s">
        <v>41</v>
      </c>
      <c r="D384" s="37" t="s">
        <v>73</v>
      </c>
      <c r="E384" s="38">
        <v>702236</v>
      </c>
      <c r="F384" s="38">
        <v>0</v>
      </c>
      <c r="G384" s="38">
        <v>0</v>
      </c>
      <c r="H384" s="39">
        <v>0</v>
      </c>
    </row>
    <row r="385" spans="1:8" ht="19.95" customHeight="1" x14ac:dyDescent="0.3">
      <c r="A385" s="36" t="s">
        <v>484</v>
      </c>
      <c r="B385" s="37" t="s">
        <v>44</v>
      </c>
      <c r="C385" s="37" t="s">
        <v>86</v>
      </c>
      <c r="D385" s="37" t="s">
        <v>216</v>
      </c>
      <c r="E385" s="38">
        <v>61331</v>
      </c>
      <c r="F385" s="38">
        <v>0</v>
      </c>
      <c r="G385" s="38">
        <v>0</v>
      </c>
      <c r="H385" s="39">
        <v>0</v>
      </c>
    </row>
    <row r="386" spans="1:8" ht="19.95" customHeight="1" x14ac:dyDescent="0.3">
      <c r="A386" s="36" t="s">
        <v>485</v>
      </c>
      <c r="B386" s="37" t="s">
        <v>44</v>
      </c>
      <c r="C386" s="37" t="s">
        <v>34</v>
      </c>
      <c r="D386" s="37" t="s">
        <v>78</v>
      </c>
      <c r="E386" s="38">
        <v>31118</v>
      </c>
      <c r="F386" s="38">
        <v>0</v>
      </c>
      <c r="G386" s="38">
        <v>0</v>
      </c>
      <c r="H386" s="39">
        <v>0</v>
      </c>
    </row>
    <row r="387" spans="1:8" ht="19.95" customHeight="1" x14ac:dyDescent="0.3">
      <c r="A387" s="36" t="s">
        <v>486</v>
      </c>
      <c r="B387" s="37" t="s">
        <v>56</v>
      </c>
      <c r="C387" s="37" t="s">
        <v>34</v>
      </c>
      <c r="D387" s="37" t="s">
        <v>226</v>
      </c>
      <c r="E387" s="38">
        <v>357805</v>
      </c>
      <c r="F387" s="38">
        <v>0</v>
      </c>
      <c r="G387" s="38">
        <v>0</v>
      </c>
      <c r="H387" s="39">
        <v>0</v>
      </c>
    </row>
    <row r="388" spans="1:8" ht="19.95" customHeight="1" x14ac:dyDescent="0.3">
      <c r="A388" s="36" t="s">
        <v>487</v>
      </c>
      <c r="B388" s="37" t="s">
        <v>25</v>
      </c>
      <c r="C388" s="37" t="s">
        <v>34</v>
      </c>
      <c r="D388" s="37" t="s">
        <v>75</v>
      </c>
      <c r="E388" s="38">
        <v>489399</v>
      </c>
      <c r="F388" s="38">
        <v>3950</v>
      </c>
      <c r="G388" s="38">
        <v>5050</v>
      </c>
      <c r="H388" s="39">
        <v>342</v>
      </c>
    </row>
    <row r="389" spans="1:8" ht="19.95" customHeight="1" x14ac:dyDescent="0.3">
      <c r="A389" s="36" t="s">
        <v>488</v>
      </c>
      <c r="B389" s="37" t="s">
        <v>131</v>
      </c>
      <c r="C389" s="37" t="s">
        <v>57</v>
      </c>
      <c r="D389" s="37" t="s">
        <v>63</v>
      </c>
      <c r="E389" s="38">
        <v>447863</v>
      </c>
      <c r="F389" s="38">
        <v>0</v>
      </c>
      <c r="G389" s="38">
        <v>0</v>
      </c>
      <c r="H389" s="39">
        <v>0</v>
      </c>
    </row>
    <row r="390" spans="1:8" ht="19.95" customHeight="1" x14ac:dyDescent="0.3">
      <c r="A390" s="36" t="s">
        <v>489</v>
      </c>
      <c r="B390" s="37" t="s">
        <v>21</v>
      </c>
      <c r="C390" s="37" t="s">
        <v>26</v>
      </c>
      <c r="D390" s="37" t="s">
        <v>32</v>
      </c>
      <c r="E390" s="38">
        <v>33691</v>
      </c>
      <c r="F390" s="38">
        <v>0</v>
      </c>
      <c r="G390" s="38">
        <v>0</v>
      </c>
      <c r="H390" s="39">
        <v>0</v>
      </c>
    </row>
    <row r="391" spans="1:8" ht="19.95" customHeight="1" x14ac:dyDescent="0.3">
      <c r="A391" s="36" t="s">
        <v>490</v>
      </c>
      <c r="B391" s="37" t="s">
        <v>67</v>
      </c>
      <c r="C391" s="37" t="s">
        <v>57</v>
      </c>
      <c r="D391" s="37" t="s">
        <v>78</v>
      </c>
      <c r="E391" s="38">
        <v>1084897</v>
      </c>
      <c r="F391" s="38">
        <v>0</v>
      </c>
      <c r="G391" s="38">
        <v>0</v>
      </c>
      <c r="H391" s="39">
        <v>0</v>
      </c>
    </row>
    <row r="392" spans="1:8" ht="19.95" customHeight="1" x14ac:dyDescent="0.3">
      <c r="A392" s="36" t="s">
        <v>491</v>
      </c>
      <c r="B392" s="37" t="s">
        <v>67</v>
      </c>
      <c r="C392" s="37" t="s">
        <v>57</v>
      </c>
      <c r="D392" s="37" t="s">
        <v>78</v>
      </c>
      <c r="E392" s="38">
        <v>5160769</v>
      </c>
      <c r="F392" s="38">
        <v>0</v>
      </c>
      <c r="G392" s="38">
        <v>0</v>
      </c>
      <c r="H392" s="39">
        <v>0</v>
      </c>
    </row>
    <row r="393" spans="1:8" ht="19.95" customHeight="1" x14ac:dyDescent="0.3">
      <c r="A393" s="36" t="s">
        <v>492</v>
      </c>
      <c r="B393" s="37" t="s">
        <v>25</v>
      </c>
      <c r="C393" s="37" t="s">
        <v>38</v>
      </c>
      <c r="D393" s="37" t="s">
        <v>39</v>
      </c>
      <c r="E393" s="38">
        <v>81670</v>
      </c>
      <c r="F393" s="38">
        <v>0</v>
      </c>
      <c r="G393" s="38">
        <v>0</v>
      </c>
      <c r="H393" s="39">
        <v>220</v>
      </c>
    </row>
    <row r="394" spans="1:8" ht="19.95" customHeight="1" x14ac:dyDescent="0.3">
      <c r="A394" s="36" t="s">
        <v>493</v>
      </c>
      <c r="B394" s="37" t="s">
        <v>67</v>
      </c>
      <c r="C394" s="37" t="s">
        <v>22</v>
      </c>
      <c r="D394" s="37" t="s">
        <v>96</v>
      </c>
      <c r="E394" s="38">
        <v>406593</v>
      </c>
      <c r="F394" s="38">
        <v>0</v>
      </c>
      <c r="G394" s="38">
        <v>0</v>
      </c>
      <c r="H394" s="39">
        <v>0</v>
      </c>
    </row>
    <row r="395" spans="1:8" ht="19.95" customHeight="1" x14ac:dyDescent="0.3">
      <c r="A395" s="36" t="s">
        <v>494</v>
      </c>
      <c r="B395" s="37" t="s">
        <v>31</v>
      </c>
      <c r="C395" s="37" t="s">
        <v>41</v>
      </c>
      <c r="D395" s="37" t="s">
        <v>116</v>
      </c>
      <c r="E395" s="38">
        <v>220205</v>
      </c>
      <c r="F395" s="38">
        <v>0</v>
      </c>
      <c r="G395" s="38">
        <v>0</v>
      </c>
      <c r="H395" s="39">
        <v>0</v>
      </c>
    </row>
    <row r="396" spans="1:8" ht="19.95" customHeight="1" x14ac:dyDescent="0.3">
      <c r="A396" s="36" t="s">
        <v>495</v>
      </c>
      <c r="B396" s="37" t="s">
        <v>25</v>
      </c>
      <c r="C396" s="37" t="s">
        <v>41</v>
      </c>
      <c r="D396" s="37" t="s">
        <v>172</v>
      </c>
      <c r="E396" s="38">
        <v>4744353</v>
      </c>
      <c r="F396" s="38">
        <v>63512</v>
      </c>
      <c r="G396" s="38">
        <v>46755</v>
      </c>
      <c r="H396" s="39">
        <v>37280</v>
      </c>
    </row>
    <row r="397" spans="1:8" ht="19.95" customHeight="1" x14ac:dyDescent="0.3">
      <c r="A397" s="36" t="s">
        <v>496</v>
      </c>
      <c r="B397" s="37" t="s">
        <v>25</v>
      </c>
      <c r="C397" s="37" t="s">
        <v>86</v>
      </c>
      <c r="D397" s="37" t="s">
        <v>110</v>
      </c>
      <c r="E397" s="38">
        <v>4121807</v>
      </c>
      <c r="F397" s="38">
        <v>356089</v>
      </c>
      <c r="G397" s="38">
        <v>211216</v>
      </c>
      <c r="H397" s="39">
        <v>131571</v>
      </c>
    </row>
    <row r="398" spans="1:8" ht="19.95" customHeight="1" x14ac:dyDescent="0.3">
      <c r="A398" s="36" t="s">
        <v>497</v>
      </c>
      <c r="B398" s="37" t="s">
        <v>81</v>
      </c>
      <c r="C398" s="37" t="s">
        <v>38</v>
      </c>
      <c r="D398" s="37" t="s">
        <v>39</v>
      </c>
      <c r="E398" s="38">
        <v>1700</v>
      </c>
      <c r="F398" s="38">
        <v>0</v>
      </c>
      <c r="G398" s="38">
        <v>0</v>
      </c>
      <c r="H398" s="39">
        <v>11900</v>
      </c>
    </row>
    <row r="399" spans="1:8" ht="19.95" customHeight="1" x14ac:dyDescent="0.3">
      <c r="A399" s="40" t="s">
        <v>498</v>
      </c>
      <c r="B399" s="41" t="s">
        <v>25</v>
      </c>
      <c r="C399" s="41" t="s">
        <v>41</v>
      </c>
      <c r="D399" s="41" t="s">
        <v>65</v>
      </c>
      <c r="E399" s="42">
        <v>4946592</v>
      </c>
      <c r="F399" s="42">
        <v>94830</v>
      </c>
      <c r="G399" s="42">
        <v>94744</v>
      </c>
      <c r="H399" s="43">
        <v>10870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7B011-E387-43E0-BF2B-36E963345F1E}">
  <dimension ref="A1:C52"/>
  <sheetViews>
    <sheetView tabSelected="1" zoomScale="78" workbookViewId="0">
      <selection activeCell="G23" sqref="G23"/>
    </sheetView>
  </sheetViews>
  <sheetFormatPr defaultRowHeight="15.6" x14ac:dyDescent="0.3"/>
  <cols>
    <col min="1" max="1" width="7.69921875" customWidth="1"/>
    <col min="2" max="2" width="95.09765625" customWidth="1"/>
    <col min="3" max="3" width="16.59765625" customWidth="1"/>
  </cols>
  <sheetData>
    <row r="1" spans="1:3" ht="16.2" thickBot="1" x14ac:dyDescent="0.35">
      <c r="A1" s="44" t="s">
        <v>499</v>
      </c>
      <c r="B1" s="44"/>
      <c r="C1" s="44"/>
    </row>
    <row r="2" spans="1:3" ht="16.2" thickBot="1" x14ac:dyDescent="0.35">
      <c r="A2" s="44"/>
      <c r="B2" s="44"/>
      <c r="C2" s="44"/>
    </row>
    <row r="3" spans="1:3" ht="16.2" thickBot="1" x14ac:dyDescent="0.35">
      <c r="A3" s="44"/>
      <c r="B3" s="44"/>
      <c r="C3" s="44"/>
    </row>
    <row r="4" spans="1:3" ht="16.2" thickBot="1" x14ac:dyDescent="0.35">
      <c r="A4" s="45" t="s">
        <v>500</v>
      </c>
      <c r="B4" s="45"/>
      <c r="C4" s="45"/>
    </row>
    <row r="5" spans="1:3" ht="16.2" thickBot="1" x14ac:dyDescent="0.35">
      <c r="A5" s="45"/>
      <c r="B5" s="45"/>
      <c r="C5" s="45"/>
    </row>
    <row r="6" spans="1:3" ht="16.2" thickBot="1" x14ac:dyDescent="0.35">
      <c r="A6" s="67" t="s">
        <v>501</v>
      </c>
      <c r="B6" s="46" t="s">
        <v>502</v>
      </c>
      <c r="C6" s="46"/>
    </row>
    <row r="7" spans="1:3" ht="16.2" thickBot="1" x14ac:dyDescent="0.35">
      <c r="A7" s="67" t="s">
        <v>503</v>
      </c>
      <c r="B7" s="46" t="s">
        <v>504</v>
      </c>
      <c r="C7" s="46"/>
    </row>
    <row r="8" spans="1:3" ht="16.2" thickBot="1" x14ac:dyDescent="0.35">
      <c r="A8" s="67" t="s">
        <v>505</v>
      </c>
      <c r="B8" s="46" t="s">
        <v>506</v>
      </c>
      <c r="C8" s="46"/>
    </row>
    <row r="9" spans="1:3" ht="16.2" thickBot="1" x14ac:dyDescent="0.35">
      <c r="A9" s="67" t="s">
        <v>507</v>
      </c>
      <c r="B9" s="46" t="s">
        <v>508</v>
      </c>
      <c r="C9" s="46"/>
    </row>
    <row r="10" spans="1:3" ht="16.2" thickBot="1" x14ac:dyDescent="0.35"/>
    <row r="11" spans="1:3" ht="18.600000000000001" thickBot="1" x14ac:dyDescent="0.4">
      <c r="A11" s="48" t="s">
        <v>509</v>
      </c>
      <c r="B11" s="48"/>
      <c r="C11" s="48"/>
    </row>
    <row r="12" spans="1:3" x14ac:dyDescent="0.3">
      <c r="A12" s="49" t="s">
        <v>510</v>
      </c>
      <c r="B12" s="50"/>
      <c r="C12" s="51"/>
    </row>
    <row r="13" spans="1:3" ht="16.2" thickBot="1" x14ac:dyDescent="0.35">
      <c r="A13" s="52"/>
      <c r="B13" s="53"/>
      <c r="C13" s="54"/>
    </row>
    <row r="14" spans="1:3" ht="16.2" thickBot="1" x14ac:dyDescent="0.35">
      <c r="A14" s="68" t="s">
        <v>511</v>
      </c>
      <c r="B14" s="47" t="s">
        <v>512</v>
      </c>
      <c r="C14" s="65">
        <f>ROWS(sites_table[#Data])</f>
        <v>398</v>
      </c>
    </row>
    <row r="15" spans="1:3" ht="16.2" thickBot="1" x14ac:dyDescent="0.35">
      <c r="A15" s="68" t="s">
        <v>513</v>
      </c>
      <c r="B15" s="47" t="s">
        <v>514</v>
      </c>
      <c r="C15" s="66">
        <f>SUM(sites_table[Recreation Visits])</f>
        <v>331863358</v>
      </c>
    </row>
    <row r="16" spans="1:3" ht="16.2" thickBot="1" x14ac:dyDescent="0.35">
      <c r="A16" s="68" t="s">
        <v>515</v>
      </c>
      <c r="B16" s="47" t="s">
        <v>516</v>
      </c>
      <c r="C16" s="66">
        <f>AVERAGE(sites_table[Recreation Visits])</f>
        <v>833827.53266331658</v>
      </c>
    </row>
    <row r="17" spans="1:3" ht="16.2" thickBot="1" x14ac:dyDescent="0.35"/>
    <row r="18" spans="1:3" ht="18.600000000000001" thickBot="1" x14ac:dyDescent="0.4">
      <c r="A18" s="61" t="s">
        <v>517</v>
      </c>
      <c r="B18" s="62"/>
      <c r="C18" s="62"/>
    </row>
    <row r="19" spans="1:3" ht="15.6" customHeight="1" x14ac:dyDescent="0.3">
      <c r="A19" s="49" t="s">
        <v>518</v>
      </c>
      <c r="B19" s="50"/>
      <c r="C19" s="50"/>
    </row>
    <row r="20" spans="1:3" ht="16.2" thickBot="1" x14ac:dyDescent="0.35">
      <c r="A20" s="52"/>
      <c r="B20" s="53"/>
      <c r="C20" s="53"/>
    </row>
    <row r="21" spans="1:3" ht="16.2" thickBot="1" x14ac:dyDescent="0.35">
      <c r="A21" s="68" t="s">
        <v>511</v>
      </c>
      <c r="B21" s="59" t="s">
        <v>519</v>
      </c>
      <c r="C21" s="60"/>
    </row>
    <row r="22" spans="1:3" ht="15.6" customHeight="1" x14ac:dyDescent="0.3">
      <c r="A22" s="69" t="s">
        <v>520</v>
      </c>
      <c r="B22" s="70"/>
      <c r="C22" s="70"/>
    </row>
    <row r="23" spans="1:3" x14ac:dyDescent="0.3">
      <c r="A23" s="71"/>
      <c r="B23" s="72"/>
      <c r="C23" s="72"/>
    </row>
    <row r="24" spans="1:3" ht="16.2" thickBot="1" x14ac:dyDescent="0.35">
      <c r="A24" s="63"/>
      <c r="B24" s="64"/>
      <c r="C24" s="64"/>
    </row>
    <row r="25" spans="1:3" ht="18.600000000000001" thickBot="1" x14ac:dyDescent="0.4">
      <c r="A25" s="48" t="s">
        <v>521</v>
      </c>
      <c r="B25" s="48"/>
      <c r="C25" s="48"/>
    </row>
    <row r="26" spans="1:3" ht="16.2" thickBot="1" x14ac:dyDescent="0.35">
      <c r="A26" s="68" t="s">
        <v>511</v>
      </c>
      <c r="B26" s="55" t="s">
        <v>522</v>
      </c>
      <c r="C26" s="65">
        <f>COUNTIF(sites_table[State], "WA")</f>
        <v>10</v>
      </c>
    </row>
    <row r="27" spans="1:3" ht="16.2" thickBot="1" x14ac:dyDescent="0.35">
      <c r="A27" s="68" t="s">
        <v>513</v>
      </c>
      <c r="B27" s="59" t="s">
        <v>523</v>
      </c>
      <c r="C27" s="60"/>
    </row>
    <row r="28" spans="1:3" x14ac:dyDescent="0.3">
      <c r="A28" s="69" t="s">
        <v>524</v>
      </c>
      <c r="B28" s="70"/>
      <c r="C28" s="70"/>
    </row>
    <row r="29" spans="1:3" x14ac:dyDescent="0.3">
      <c r="A29" s="71"/>
      <c r="B29" s="73"/>
      <c r="C29" s="73"/>
    </row>
    <row r="30" spans="1:3" ht="16.2" thickBot="1" x14ac:dyDescent="0.35">
      <c r="A30" s="74"/>
      <c r="B30" s="75"/>
      <c r="C30" s="75"/>
    </row>
    <row r="31" spans="1:3" x14ac:dyDescent="0.3">
      <c r="A31" s="76" t="s">
        <v>515</v>
      </c>
      <c r="B31" s="57" t="s">
        <v>525</v>
      </c>
      <c r="C31" s="78">
        <f>SUMIF(sites_table[State], "WA", sites_table[Recreation Visits])</f>
        <v>9003899</v>
      </c>
    </row>
    <row r="32" spans="1:3" x14ac:dyDescent="0.3">
      <c r="A32" s="77"/>
      <c r="B32" s="58"/>
      <c r="C32" s="79"/>
    </row>
    <row r="33" spans="1:3" ht="16.2" thickBot="1" x14ac:dyDescent="0.35"/>
    <row r="34" spans="1:3" ht="18.600000000000001" thickBot="1" x14ac:dyDescent="0.4">
      <c r="A34" s="48" t="s">
        <v>526</v>
      </c>
      <c r="B34" s="48"/>
      <c r="C34" s="48"/>
    </row>
    <row r="35" spans="1:3" ht="16.2" thickBot="1" x14ac:dyDescent="0.35">
      <c r="A35" s="68" t="s">
        <v>511</v>
      </c>
      <c r="B35" s="55" t="s">
        <v>527</v>
      </c>
      <c r="C35" s="66">
        <f>SUMIF(sites_table[State], "WA", sites_table[Tent Campers])</f>
        <v>285893</v>
      </c>
    </row>
    <row r="36" spans="1:3" ht="16.2" thickBot="1" x14ac:dyDescent="0.35">
      <c r="A36" s="68" t="s">
        <v>513</v>
      </c>
      <c r="B36" s="55" t="s">
        <v>528</v>
      </c>
      <c r="C36" s="66">
        <f>SUMIF(sites_table[State], "WA", sites_table[RV Campers])</f>
        <v>202503</v>
      </c>
    </row>
    <row r="37" spans="1:3" ht="16.2" thickBot="1" x14ac:dyDescent="0.35">
      <c r="A37" s="68" t="s">
        <v>515</v>
      </c>
      <c r="B37" s="55" t="s">
        <v>529</v>
      </c>
      <c r="C37" s="66">
        <f>SUMIF(sites_table[State], "WA", sites_table[Backcountry Campers])</f>
        <v>212996</v>
      </c>
    </row>
    <row r="38" spans="1:3" x14ac:dyDescent="0.3">
      <c r="A38" s="82" t="s">
        <v>530</v>
      </c>
      <c r="B38" s="80" t="s">
        <v>531</v>
      </c>
      <c r="C38" s="84">
        <f>SUM(C35:C37)/C31</f>
        <v>7.7898696997822828E-2</v>
      </c>
    </row>
    <row r="39" spans="1:3" x14ac:dyDescent="0.3">
      <c r="A39" s="83"/>
      <c r="B39" s="81"/>
      <c r="C39" s="85"/>
    </row>
    <row r="40" spans="1:3" ht="16.2" thickBot="1" x14ac:dyDescent="0.35"/>
    <row r="41" spans="1:3" ht="18.600000000000001" thickBot="1" x14ac:dyDescent="0.4">
      <c r="A41" s="86" t="s">
        <v>532</v>
      </c>
      <c r="B41" s="86"/>
      <c r="C41" s="86"/>
    </row>
    <row r="42" spans="1:3" x14ac:dyDescent="0.3">
      <c r="A42" s="87" t="s">
        <v>533</v>
      </c>
      <c r="B42" s="88"/>
      <c r="C42" s="88"/>
    </row>
    <row r="43" spans="1:3" x14ac:dyDescent="0.3">
      <c r="A43" s="89"/>
      <c r="B43" s="90"/>
      <c r="C43" s="90"/>
    </row>
    <row r="44" spans="1:3" ht="16.2" thickBot="1" x14ac:dyDescent="0.35">
      <c r="A44" s="91"/>
      <c r="B44" s="92"/>
      <c r="C44" s="92"/>
    </row>
    <row r="45" spans="1:3" ht="16.2" thickBot="1" x14ac:dyDescent="0.35">
      <c r="A45" s="68" t="s">
        <v>511</v>
      </c>
      <c r="B45" s="55" t="s">
        <v>534</v>
      </c>
      <c r="C45" s="65">
        <f>COUNTIF(sites_table[Site Type], "National Park")</f>
        <v>63</v>
      </c>
    </row>
    <row r="46" spans="1:3" ht="16.2" thickBot="1" x14ac:dyDescent="0.35">
      <c r="A46" s="68" t="s">
        <v>513</v>
      </c>
      <c r="B46" s="55" t="s">
        <v>535</v>
      </c>
      <c r="C46" s="66">
        <f>AVERAGEIF(sites_table[Site Type], "National Park", sites_table[Recreation Visits])</f>
        <v>1496628.0476190476</v>
      </c>
    </row>
    <row r="47" spans="1:3" ht="16.2" thickBot="1" x14ac:dyDescent="0.35">
      <c r="A47" s="68" t="s">
        <v>515</v>
      </c>
      <c r="B47" s="55" t="s">
        <v>536</v>
      </c>
      <c r="C47" s="65">
        <f>COUNTIFS(sites_table[State], "WA", sites_table[Site Type], "National Park")</f>
        <v>3</v>
      </c>
    </row>
    <row r="48" spans="1:3" ht="16.2" thickBot="1" x14ac:dyDescent="0.35">
      <c r="A48" s="68" t="s">
        <v>530</v>
      </c>
      <c r="B48" s="55" t="s">
        <v>537</v>
      </c>
      <c r="C48" s="93">
        <f>AVERAGEIFS(sites_table[Recreation Visits], sites_table[State], "WA", sites_table[Site Type], "National Park")</f>
        <v>1784586</v>
      </c>
    </row>
    <row r="49" spans="1:3" ht="16.2" thickBot="1" x14ac:dyDescent="0.35">
      <c r="A49" s="68" t="s">
        <v>538</v>
      </c>
      <c r="B49" s="56" t="s">
        <v>539</v>
      </c>
      <c r="C49" s="57"/>
    </row>
    <row r="50" spans="1:3" ht="15.6" customHeight="1" x14ac:dyDescent="0.3">
      <c r="A50" s="70" t="s">
        <v>540</v>
      </c>
      <c r="B50" s="70"/>
      <c r="C50" s="70"/>
    </row>
    <row r="51" spans="1:3" x14ac:dyDescent="0.3">
      <c r="A51" s="72"/>
      <c r="B51" s="72"/>
      <c r="C51" s="72"/>
    </row>
    <row r="52" spans="1:3" x14ac:dyDescent="0.3">
      <c r="A52" s="72"/>
      <c r="B52" s="72"/>
      <c r="C52" s="72"/>
    </row>
  </sheetData>
  <mergeCells count="26">
    <mergeCell ref="B49:C49"/>
    <mergeCell ref="A50:C52"/>
    <mergeCell ref="A34:C34"/>
    <mergeCell ref="A38:A39"/>
    <mergeCell ref="B38:B39"/>
    <mergeCell ref="C38:C39"/>
    <mergeCell ref="A41:C41"/>
    <mergeCell ref="A42:C44"/>
    <mergeCell ref="A25:C25"/>
    <mergeCell ref="B27:C27"/>
    <mergeCell ref="A28:C30"/>
    <mergeCell ref="A31:A32"/>
    <mergeCell ref="B31:B32"/>
    <mergeCell ref="C31:C32"/>
    <mergeCell ref="A18:C18"/>
    <mergeCell ref="A19:C20"/>
    <mergeCell ref="B21:C21"/>
    <mergeCell ref="A22:C23"/>
    <mergeCell ref="A11:C11"/>
    <mergeCell ref="A12:C13"/>
    <mergeCell ref="A1:C3"/>
    <mergeCell ref="A4:C5"/>
    <mergeCell ref="B6:C6"/>
    <mergeCell ref="B7:C7"/>
    <mergeCell ref="B8:C8"/>
    <mergeCell ref="B9:C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Dictionary</vt:lpstr>
      <vt:lpstr>Site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2026-09-18T21:14:23Z</dcterms:created>
  <dcterms:modified xsi:type="dcterms:W3CDTF">2026-09-18T21:34:28Z</dcterms:modified>
</cp:coreProperties>
</file>